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tu\Downloads\"/>
    </mc:Choice>
  </mc:AlternateContent>
  <xr:revisionPtr revIDLastSave="0" documentId="13_ncr:1_{794E5825-9F60-4B3E-87AD-03B5A9E5DCA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ales_Data" sheetId="1" r:id="rId1"/>
    <sheet name="Dashboard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5" i="2" l="1"/>
  <c r="K6" i="2"/>
  <c r="E6" i="2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C29" i="2" l="1"/>
  <c r="C40" i="2"/>
  <c r="C37" i="2"/>
  <c r="G12" i="2"/>
  <c r="C39" i="2"/>
  <c r="G16" i="2"/>
  <c r="G14" i="2"/>
  <c r="C36" i="2"/>
  <c r="C13" i="2"/>
  <c r="C14" i="2"/>
  <c r="G15" i="2"/>
  <c r="G13" i="2"/>
  <c r="G18" i="2"/>
  <c r="C22" i="2"/>
  <c r="C30" i="2"/>
  <c r="C11" i="2"/>
  <c r="C23" i="2"/>
  <c r="C35" i="2"/>
  <c r="G11" i="2"/>
  <c r="C24" i="2"/>
  <c r="C12" i="2"/>
  <c r="G17" i="2"/>
  <c r="C25" i="2"/>
  <c r="C26" i="2"/>
  <c r="B6" i="2"/>
  <c r="C19" i="2"/>
  <c r="C27" i="2"/>
  <c r="C38" i="2"/>
  <c r="C28" i="2"/>
  <c r="C20" i="2"/>
  <c r="H6" i="2"/>
  <c r="C21" i="2"/>
</calcChain>
</file>

<file path=xl/sharedStrings.xml><?xml version="1.0" encoding="utf-8"?>
<sst xmlns="http://schemas.openxmlformats.org/spreadsheetml/2006/main" count="961" uniqueCount="233">
  <si>
    <t>Order ID</t>
  </si>
  <si>
    <t>Order Date</t>
  </si>
  <si>
    <t>Region</t>
  </si>
  <si>
    <t>Product</t>
  </si>
  <si>
    <t>Category</t>
  </si>
  <si>
    <t>Salesperson</t>
  </si>
  <si>
    <t>Units Sold</t>
  </si>
  <si>
    <t>Unit Price</t>
  </si>
  <si>
    <t>Sales Amount</t>
  </si>
  <si>
    <t>Month</t>
  </si>
  <si>
    <t>ORD-1001</t>
  </si>
  <si>
    <t>North</t>
  </si>
  <si>
    <t>Laptop Pro 14</t>
  </si>
  <si>
    <t>Computers</t>
  </si>
  <si>
    <t>Frank Osei</t>
  </si>
  <si>
    <t>ORD-1002</t>
  </si>
  <si>
    <t>Laptop Air 13</t>
  </si>
  <si>
    <t>Emma Rossi</t>
  </si>
  <si>
    <t>ORD-1003</t>
  </si>
  <si>
    <t>South</t>
  </si>
  <si>
    <t>Wireless Mouse</t>
  </si>
  <si>
    <t>Accessories</t>
  </si>
  <si>
    <t>ORD-1004</t>
  </si>
  <si>
    <t>West</t>
  </si>
  <si>
    <t>David Kim</t>
  </si>
  <si>
    <t>ORD-1005</t>
  </si>
  <si>
    <t>USB-C Dock</t>
  </si>
  <si>
    <t>Carol Singh</t>
  </si>
  <si>
    <t>ORD-1006</t>
  </si>
  <si>
    <t>ORD-1007</t>
  </si>
  <si>
    <t>East</t>
  </si>
  <si>
    <t>ORD-1008</t>
  </si>
  <si>
    <t>Mechanical Keyboard</t>
  </si>
  <si>
    <t>ORD-1009</t>
  </si>
  <si>
    <t>Alice Nguyen</t>
  </si>
  <si>
    <t>ORD-1010</t>
  </si>
  <si>
    <t>ORD-1011</t>
  </si>
  <si>
    <t>24in Monitor</t>
  </si>
  <si>
    <t>ORD-1012</t>
  </si>
  <si>
    <t>ORD-1013</t>
  </si>
  <si>
    <t>ORD-1014</t>
  </si>
  <si>
    <t>Bob Martinez</t>
  </si>
  <si>
    <t>ORD-1015</t>
  </si>
  <si>
    <t>ORD-1016</t>
  </si>
  <si>
    <t>Webcam HD</t>
  </si>
  <si>
    <t>ORD-1017</t>
  </si>
  <si>
    <t>ORD-1018</t>
  </si>
  <si>
    <t>ORD-1019</t>
  </si>
  <si>
    <t>ORD-1020</t>
  </si>
  <si>
    <t>ORD-1021</t>
  </si>
  <si>
    <t>ORD-1022</t>
  </si>
  <si>
    <t>Noise Cancelling Headphones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</si>
  <si>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</si>
  <si>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</si>
  <si>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</si>
  <si>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</si>
  <si>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</si>
  <si>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</si>
  <si>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</si>
  <si>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</si>
  <si>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</si>
  <si>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</si>
  <si>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</si>
  <si>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</si>
  <si>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</si>
  <si>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</si>
  <si>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</si>
  <si>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</si>
  <si>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</si>
  <si>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</si>
  <si>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</si>
  <si>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</si>
  <si>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</si>
  <si>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</si>
  <si>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</si>
  <si>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</si>
  <si>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</si>
  <si>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</si>
  <si>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</si>
  <si>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</si>
  <si>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</si>
  <si>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</si>
  <si>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</si>
  <si>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</si>
  <si>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</si>
  <si>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</si>
  <si>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</si>
  <si>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</si>
  <si>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</si>
  <si>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</si>
  <si>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</si>
  <si>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</si>
  <si>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</si>
  <si>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</si>
  <si>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</si>
  <si>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</si>
  <si>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</si>
  <si>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</si>
  <si>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</si>
  <si>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</si>
  <si>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</si>
  <si>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</si>
  <si>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</si>
  <si>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</si>
  <si>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</si>
  <si>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</si>
  <si>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</si>
  <si>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</si>
  <si>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</si>
  <si>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</si>
  <si>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</si>
  <si>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</si>
  <si>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</si>
  <si>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</si>
  <si>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</si>
  <si>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</si>
  <si>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</si>
  <si>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</si>
  <si>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</si>
  <si>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</si>
  <si>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</si>
  <si>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</si>
  <si>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</si>
  <si>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</si>
  <si>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</si>
  <si>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</si>
  <si>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</si>
  <si>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</si>
  <si>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</si>
  <si>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</si>
  <si>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</si>
  <si>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</si>
  <si>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</si>
  <si>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</si>
  <si>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</si>
  <si>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</si>
  <si>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</si>
  <si>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</si>
  <si>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</si>
  <si>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</si>
  <si>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</si>
  <si>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</si>
  <si>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</si>
  <si>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</si>
  <si>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</si>
  <si>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</si>
  <si>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</si>
  <si>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</si>
  <si>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</si>
  <si>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</si>
  <si>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</si>
  <si>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</si>
  <si>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</si>
  <si>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</si>
  <si>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</si>
  <si>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</si>
  <si>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</si>
  <si>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</si>
  <si>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</si>
  <si>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</si>
  <si>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</si>
  <si>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</si>
  <si>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</si>
  <si>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</si>
  <si>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</si>
  <si>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</si>
  <si>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</si>
  <si>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</si>
  <si>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</si>
  <si>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</si>
  <si>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</si>
  <si>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</si>
  <si>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</si>
  <si>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</si>
  <si>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</si>
  <si>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</si>
  <si>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</si>
  <si>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</si>
  <si>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</si>
  <si>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</si>
  <si>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</si>
  <si>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</si>
  <si>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</si>
  <si>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</si>
  <si>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</si>
  <si>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</si>
  <si>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</si>
  <si>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</si>
  <si>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</si>
  <si>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</si>
  <si>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</si>
  <si>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</si>
  <si>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</si>
  <si>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</si>
  <si>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</si>
  <si>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</si>
  <si>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</si>
  <si>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</si>
  <si>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</si>
  <si>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</si>
  <si>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</si>
  <si>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</si>
  <si>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</si>
  <si>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</si>
  <si>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</si>
  <si>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</si>
  <si>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</si>
  <si>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</si>
  <si>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</si>
  <si>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</si>
  <si>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Sales Dashboard — FY2025</t>
  </si>
  <si>
    <t>Source: Sales_Data sheet (sample dataset)</t>
  </si>
  <si>
    <t>Total Sales</t>
  </si>
  <si>
    <t>Total Orders</t>
  </si>
  <si>
    <t>Avg Order Value</t>
  </si>
  <si>
    <t>Sales by Region</t>
  </si>
  <si>
    <t>Sales by Product</t>
  </si>
  <si>
    <t>Monthly Sales Trend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</si>
  <si>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</si>
  <si>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</si>
  <si>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</si>
  <si>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</si>
  <si>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</si>
  <si>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</si>
  <si>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</si>
  <si>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</si>
  <si>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</si>
  <si>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</si>
  <si>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</si>
  <si>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</si>
  <si>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Salesperson Lookup (INDEX / MATCH)</t>
  </si>
  <si>
    <t>Enter name:</t>
  </si>
  <si>
    <t>Total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</si>
</sst>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&quot;₹&quot;\ #,##0.00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8"/>
      <name val="Calibri"/>
      <family val="2"/>
      <charset val="1"/>
    </font>
    <font>
      <sz val="1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003366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5" borderId="0" xfId="0" applyFill="1"/>
    <xf numFmtId="0" fontId="4" fillId="3" borderId="0" xfId="0" applyFont="1" applyFill="1"/>
    <xf numFmtId="164" fontId="4" fillId="3" borderId="0" xfId="0" applyNumberFormat="1" applyFont="1" applyFill="1"/>
    <xf numFmtId="0" fontId="5" fillId="0" borderId="0" xfId="0" applyFont="1"/>
    <xf numFmtId="0" fontId="1" fillId="0" borderId="0" xfId="0" applyFont="1"/>
    <xf numFmtId="0" fontId="6" fillId="0" borderId="0" xfId="0" applyFont="1"/>
    <xf numFmtId="0" fontId="10" fillId="0" borderId="0" xfId="0" applyFont="1"/>
    <xf numFmtId="0" fontId="4" fillId="0" borderId="0" xfId="0" applyFont="1"/>
    <xf numFmtId="0" fontId="7" fillId="0" borderId="1" xfId="0" applyFont="1" applyBorder="1"/>
    <xf numFmtId="3" fontId="8" fillId="0" borderId="1" xfId="0" applyNumberFormat="1" applyFont="1" applyBorder="1"/>
    <xf numFmtId="0" fontId="9" fillId="4" borderId="0" xfId="0" applyFont="1" applyFill="1"/>
    <xf numFmtId="167" fontId="2" fillId="4" borderId="0" xfId="0" applyNumberFormat="1" applyFont="1" applyFill="1" applyAlignment="1">
      <alignment horizontal="center" vertical="center"/>
    </xf>
    <xf numFmtId="167" fontId="4" fillId="3" borderId="0" xfId="0" applyNumberFormat="1" applyFont="1" applyFill="1"/>
    <xf numFmtId="167" fontId="0" fillId="0" borderId="0" xfId="0" applyNumberFormat="1"/>
    <xf numFmtId="167" fontId="8" fillId="0" borderId="1" xfId="0" applyNumberFormat="1" applyFont="1" applyBorder="1"/>
    <xf numFmtId="167" fontId="1" fillId="0" borderId="0" xfId="0" applyNumberFormat="1" applyFont="1"/>
    <xf numFmtId="167" fontId="10" fillId="0" borderId="0" xfId="0" applyNumberFormat="1" applyFont="1"/>
    <xf numFmtId="167" fontId="4" fillId="0" borderId="0" xfId="0" applyNumberFormat="1" applyFont="1"/>
    <xf numFmtId="167" fontId="4" fillId="2" borderId="1" xfId="0" applyNumberFormat="1" applyFont="1" applyFill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₹&quot;\ #,##0.0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₹&quot;\ #,##0.0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theme="3" tint="0.399975585192419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0C0C0"/>
      <rgbColor rgb="FF808080"/>
      <rgbColor rgb="FF93A9CE"/>
      <rgbColor rgb="FFAB4744"/>
      <rgbColor rgb="FFFFF2CC"/>
      <rgbColor rgb="FFF9F9F9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BE4B48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+mn-lt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+mn-lt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Dashboard!$C$11:$C$14</c:f>
              <c:numCache>
                <c:formatCode>"₹"\ #,##0.00</c:formatCode>
                <c:ptCount val="4"/>
                <c:pt idx="0">
                  <c:v>126156.99</c:v>
                </c:pt>
                <c:pt idx="1">
                  <c:v>94676.189999999988</c:v>
                </c:pt>
                <c:pt idx="2">
                  <c:v>150277.22999999998</c:v>
                </c:pt>
                <c:pt idx="3">
                  <c:v>115687.17000000004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A-4083-91F5-8A7DE91B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03630"/>
        <c:axId val="23130447"/>
      </c:barChart>
      <c:catAx>
        <c:axId val="726036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30447"/>
        <c:crosses val="autoZero"/>
        <c:auto val="1"/>
        <c:lblAlgn val="ctr"/>
        <c:lblOffset val="100"/>
        <c:noMultiLvlLbl val="0"/>
      </c:catAx>
      <c:valAx>
        <c:axId val="231304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&quot;\ 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603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F3C-48E7-9EFD-4D01EBD4F9FC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F3C-48E7-9EFD-4D01EBD4F9F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F3C-48E7-9EFD-4D01EBD4F9F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F3C-48E7-9EFD-4D01EBD4F9F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F3C-48E7-9EFD-4D01EBD4F9F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F3C-48E7-9EFD-4D01EBD4F9F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F3C-48E7-9EFD-4D01EBD4F9FC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F3C-48E7-9EFD-4D01EBD4F9F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3C-48E7-9EFD-4D01EBD4F9F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3C-48E7-9EFD-4D01EBD4F9F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3C-48E7-9EFD-4D01EBD4F9F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3C-48E7-9EFD-4D01EBD4F9F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3C-48E7-9EFD-4D01EBD4F9FC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3C-48E7-9EFD-4D01EBD4F9FC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F3C-48E7-9EFD-4D01EBD4F9FC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F3C-48E7-9EFD-4D01EBD4F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Dashboard!$F$11:$F$18</c:f>
              <c:strCache>
                <c:ptCount val="8"/>
                <c:pt idx="0">
                  <c:v>Laptop Pro 14</c:v>
                </c:pt>
                <c:pt idx="1">
                  <c:v>Laptop Air 13</c:v>
                </c:pt>
                <c:pt idx="2">
                  <c:v>24in Monitor</c:v>
                </c:pt>
                <c:pt idx="3">
                  <c:v>Wireless Mouse</c:v>
                </c:pt>
                <c:pt idx="4">
                  <c:v>Mechanical Keyboard</c:v>
                </c:pt>
                <c:pt idx="5">
                  <c:v>Noise Cancelling Headphones</c:v>
                </c:pt>
                <c:pt idx="6">
                  <c:v>USB-C Dock</c:v>
                </c:pt>
                <c:pt idx="7">
                  <c:v>Webcam HD</c:v>
                </c:pt>
              </c:strCache>
            </c:strRef>
          </c:cat>
          <c:val>
            <c:numRef>
              <c:f>Dashboard!$G$11:$G$18</c:f>
              <c:numCache>
                <c:formatCode>"₹"\ #,##0.00</c:formatCode>
                <c:ptCount val="8"/>
                <c:pt idx="0">
                  <c:v>201890.91999999995</c:v>
                </c:pt>
                <c:pt idx="1">
                  <c:v>191114.84</c:v>
                </c:pt>
                <c:pt idx="2">
                  <c:v>36190.47</c:v>
                </c:pt>
                <c:pt idx="3">
                  <c:v>6182.5899999999983</c:v>
                </c:pt>
                <c:pt idx="4">
                  <c:v>11074.699999999997</c:v>
                </c:pt>
                <c:pt idx="5">
                  <c:v>22206.670000000002</c:v>
                </c:pt>
                <c:pt idx="6">
                  <c:v>9169.43</c:v>
                </c:pt>
                <c:pt idx="7">
                  <c:v>8967.9599999999991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F3C-48E7-9EFD-4D01EBD4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+mn-lt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+mn-lt"/>
              </a:rPr>
              <a:t>Monthly Sales Trend</a:t>
            </a:r>
          </a:p>
        </c:rich>
      </c:tx>
      <c:layout>
        <c:manualLayout>
          <c:xMode val="edge"/>
          <c:yMode val="edge"/>
          <c:x val="0.30609513782327713"/>
          <c:y val="3.637018217820162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Dashboard!$B$19:$B$30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Dashboard!$C$19:$C$30</c:f>
              <c:numCache>
                <c:formatCode>"₹"\ #,##0.00</c:formatCode>
                <c:ptCount val="12"/>
                <c:pt idx="0">
                  <c:v>41701.360000000001</c:v>
                </c:pt>
                <c:pt idx="1">
                  <c:v>30773.97</c:v>
                </c:pt>
                <c:pt idx="2">
                  <c:v>39778.639999999985</c:v>
                </c:pt>
                <c:pt idx="3">
                  <c:v>54847.229999999996</c:v>
                </c:pt>
                <c:pt idx="4">
                  <c:v>22126.05</c:v>
                </c:pt>
                <c:pt idx="5">
                  <c:v>29154.99</c:v>
                </c:pt>
                <c:pt idx="6">
                  <c:v>29873.369999999995</c:v>
                </c:pt>
                <c:pt idx="7">
                  <c:v>73024.31</c:v>
                </c:pt>
                <c:pt idx="8">
                  <c:v>48903.92</c:v>
                </c:pt>
                <c:pt idx="9">
                  <c:v>37544.170000000006</c:v>
                </c:pt>
                <c:pt idx="10">
                  <c:v>35759.039999999994</c:v>
                </c:pt>
                <c:pt idx="11">
                  <c:v>43310.530000000006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E1-401C-A3BF-62C35C27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245063"/>
        <c:axId val="44014836"/>
      </c:lineChart>
      <c:catAx>
        <c:axId val="10245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014836"/>
        <c:crosses val="autoZero"/>
        <c:auto val="1"/>
        <c:lblAlgn val="ctr"/>
        <c:lblOffset val="100"/>
        <c:noMultiLvlLbl val="0"/>
      </c:catAx>
      <c:valAx>
        <c:axId val="44014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&quot;\ 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45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317500</xdr:colOff>
      <xdr:row>7</xdr:row>
      <xdr:rowOff>7060</xdr:rowOff>
    </xdr:from>
    <xdr:to>
      <xdr:col>14</xdr:col>
      <xdr:colOff>50800</xdr:colOff>
      <xdr:row>21</xdr:row>
      <xdr:rowOff>11920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654050</xdr:colOff>
      <xdr:row>37</xdr:row>
      <xdr:rowOff>8850</xdr:rowOff>
    </xdr:from>
    <xdr:to>
      <xdr:col>6</xdr:col>
      <xdr:colOff>501650</xdr:colOff>
      <xdr:row>50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241300</xdr:colOff>
      <xdr:row>21</xdr:row>
      <xdr:rowOff>165540</xdr:rowOff>
    </xdr:from>
    <xdr:to>
      <xdr:col>14</xdr:col>
      <xdr:colOff>488950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181" totalsRowShown="0" headerRowDxfId="11" dataDxfId="10">
  <autoFilter ref="A1:J181" xr:uid="{00000000-0009-0000-0100-000001000000}"/>
  <tableColumns count="10">
    <tableColumn id="1" xr3:uid="{00000000-0010-0000-0000-000001000000}" name="Order ID" dataDxfId="9"/>
    <tableColumn id="2" xr3:uid="{00000000-0010-0000-0000-000002000000}" name="Order Date" dataDxfId="8"/>
    <tableColumn id="3" xr3:uid="{00000000-0010-0000-0000-000003000000}" name="Region" dataDxfId="7"/>
    <tableColumn id="4" xr3:uid="{00000000-0010-0000-0000-000004000000}" name="Product" dataDxfId="6"/>
    <tableColumn id="5" xr3:uid="{00000000-0010-0000-0000-000005000000}" name="Category" dataDxfId="5"/>
    <tableColumn id="6" xr3:uid="{00000000-0010-0000-0000-000006000000}" name="Salesperson" dataDxfId="4"/>
    <tableColumn id="7" xr3:uid="{00000000-0010-0000-0000-000007000000}" name="Units Sold" dataDxfId="3"/>
    <tableColumn id="8" xr3:uid="{00000000-0010-0000-0000-000008000000}" name="Unit Price" dataDxfId="2"/>
    <tableColumn id="9" xr3:uid="{00000000-0010-0000-0000-000009000000}" name="Sales Amount" dataDxfId="0"/>
    <tableColumn id="10" xr3:uid="{00000000-0010-0000-0000-00000A000000}" name="Month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zoomScaleNormal="100" workbookViewId="0">
      <pane ySplit="1" topLeftCell="A2" activePane="bottomLeft" state="frozen"/>
      <selection pane="bottomLeft" activeCell="I1" sqref="I1:I1048576"/>
    </sheetView>
  </sheetViews>
  <sheetFormatPr defaultColWidth="8.6328125" defaultRowHeight="14.5" x14ac:dyDescent="0.35"/>
  <cols>
    <col min="1" max="1" width="13.08984375" bestFit="1" customWidth="1"/>
    <col min="2" max="2" width="15.453125" bestFit="1" customWidth="1"/>
    <col min="3" max="3" width="11.90625" bestFit="1" customWidth="1"/>
    <col min="4" max="4" width="27.453125" bestFit="1" customWidth="1"/>
    <col min="5" max="5" width="13.7265625" bestFit="1" customWidth="1"/>
    <col min="6" max="6" width="16.90625" bestFit="1" customWidth="1"/>
    <col min="7" max="7" width="14.90625" bestFit="1" customWidth="1"/>
    <col min="8" max="8" width="14.36328125" style="15" bestFit="1" customWidth="1"/>
    <col min="9" max="9" width="18.36328125" style="15" bestFit="1" customWidth="1"/>
    <col min="10" max="10" width="11.08984375" bestFit="1" customWidth="1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3" t="s">
        <v>8</v>
      </c>
      <c r="J1" s="1" t="s">
        <v>9</v>
      </c>
    </row>
    <row r="2" spans="1:10" x14ac:dyDescent="0.35">
      <c r="A2" s="3" t="s">
        <v>10</v>
      </c>
      <c r="B2" s="4">
        <v>45985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</v>
      </c>
      <c r="H2" s="14">
        <v>1169.3900000000001</v>
      </c>
      <c r="I2" s="14">
        <f t="shared" ref="I2:I33" si="0">G2*H2</f>
        <v>5846.9500000000007</v>
      </c>
      <c r="J2" s="3" t="str">
        <f t="shared" ref="J2:J33" si="1">TEXT(B2,"mmm-yy")</f>
        <v>Nov-25</v>
      </c>
    </row>
    <row r="3" spans="1:10" x14ac:dyDescent="0.35">
      <c r="A3" s="3" t="s">
        <v>15</v>
      </c>
      <c r="B3" s="4">
        <v>45729</v>
      </c>
      <c r="C3" s="3" t="s">
        <v>11</v>
      </c>
      <c r="D3" s="3" t="s">
        <v>16</v>
      </c>
      <c r="E3" s="3" t="s">
        <v>13</v>
      </c>
      <c r="F3" s="3" t="s">
        <v>17</v>
      </c>
      <c r="G3" s="3">
        <v>7</v>
      </c>
      <c r="H3" s="14">
        <v>905.52</v>
      </c>
      <c r="I3" s="14">
        <f t="shared" si="0"/>
        <v>6338.6399999999994</v>
      </c>
      <c r="J3" s="3" t="str">
        <f t="shared" si="1"/>
        <v>Mar-25</v>
      </c>
    </row>
    <row r="4" spans="1:10" x14ac:dyDescent="0.35">
      <c r="A4" s="3" t="s">
        <v>18</v>
      </c>
      <c r="B4" s="4">
        <v>45705</v>
      </c>
      <c r="C4" s="3" t="s">
        <v>19</v>
      </c>
      <c r="D4" s="3" t="s">
        <v>20</v>
      </c>
      <c r="E4" s="3" t="s">
        <v>21</v>
      </c>
      <c r="F4" s="3" t="s">
        <v>17</v>
      </c>
      <c r="G4" s="3">
        <v>10</v>
      </c>
      <c r="H4" s="14">
        <v>33.340000000000003</v>
      </c>
      <c r="I4" s="14">
        <f t="shared" si="0"/>
        <v>333.40000000000003</v>
      </c>
      <c r="J4" s="3" t="str">
        <f t="shared" si="1"/>
        <v>Feb-25</v>
      </c>
    </row>
    <row r="5" spans="1:10" x14ac:dyDescent="0.35">
      <c r="A5" s="3" t="s">
        <v>22</v>
      </c>
      <c r="B5" s="4">
        <v>45759</v>
      </c>
      <c r="C5" s="3" t="s">
        <v>23</v>
      </c>
      <c r="D5" s="3" t="s">
        <v>20</v>
      </c>
      <c r="E5" s="3" t="s">
        <v>21</v>
      </c>
      <c r="F5" s="3" t="s">
        <v>24</v>
      </c>
      <c r="G5" s="3">
        <v>10</v>
      </c>
      <c r="H5" s="14">
        <v>34.22</v>
      </c>
      <c r="I5" s="14">
        <f t="shared" si="0"/>
        <v>342.2</v>
      </c>
      <c r="J5" s="3" t="str">
        <f t="shared" si="1"/>
        <v>Apr-25</v>
      </c>
    </row>
    <row r="6" spans="1:10" x14ac:dyDescent="0.35">
      <c r="A6" s="3" t="s">
        <v>25</v>
      </c>
      <c r="B6" s="4">
        <v>45661</v>
      </c>
      <c r="C6" s="3" t="s">
        <v>19</v>
      </c>
      <c r="D6" s="3" t="s">
        <v>26</v>
      </c>
      <c r="E6" s="3" t="s">
        <v>21</v>
      </c>
      <c r="F6" s="3" t="s">
        <v>27</v>
      </c>
      <c r="G6" s="3">
        <v>5</v>
      </c>
      <c r="H6" s="14">
        <v>91.73</v>
      </c>
      <c r="I6" s="14">
        <f t="shared" si="0"/>
        <v>458.65000000000003</v>
      </c>
      <c r="J6" s="3" t="str">
        <f t="shared" si="1"/>
        <v>Jan-25</v>
      </c>
    </row>
    <row r="7" spans="1:10" x14ac:dyDescent="0.35">
      <c r="A7" s="3" t="s">
        <v>28</v>
      </c>
      <c r="B7" s="4">
        <v>45830</v>
      </c>
      <c r="C7" s="3" t="s">
        <v>11</v>
      </c>
      <c r="D7" s="3" t="s">
        <v>16</v>
      </c>
      <c r="E7" s="3" t="s">
        <v>13</v>
      </c>
      <c r="F7" s="3" t="s">
        <v>24</v>
      </c>
      <c r="G7" s="3">
        <v>2</v>
      </c>
      <c r="H7" s="14">
        <v>936.6</v>
      </c>
      <c r="I7" s="14">
        <f t="shared" si="0"/>
        <v>1873.2</v>
      </c>
      <c r="J7" s="3" t="str">
        <f t="shared" si="1"/>
        <v>Jun-25</v>
      </c>
    </row>
    <row r="8" spans="1:10" x14ac:dyDescent="0.35">
      <c r="A8" s="3" t="s">
        <v>29</v>
      </c>
      <c r="B8" s="4">
        <v>45834</v>
      </c>
      <c r="C8" s="3" t="s">
        <v>30</v>
      </c>
      <c r="D8" s="3" t="s">
        <v>12</v>
      </c>
      <c r="E8" s="3" t="s">
        <v>13</v>
      </c>
      <c r="F8" s="3" t="s">
        <v>14</v>
      </c>
      <c r="G8" s="3">
        <v>8</v>
      </c>
      <c r="H8" s="14">
        <v>1204.3499999999999</v>
      </c>
      <c r="I8" s="14">
        <f t="shared" si="0"/>
        <v>9634.7999999999993</v>
      </c>
      <c r="J8" s="3" t="str">
        <f t="shared" si="1"/>
        <v>Jun-25</v>
      </c>
    </row>
    <row r="9" spans="1:10" x14ac:dyDescent="0.35">
      <c r="A9" s="3" t="s">
        <v>31</v>
      </c>
      <c r="B9" s="4">
        <v>45851</v>
      </c>
      <c r="C9" s="3" t="s">
        <v>11</v>
      </c>
      <c r="D9" s="3" t="s">
        <v>32</v>
      </c>
      <c r="E9" s="3" t="s">
        <v>21</v>
      </c>
      <c r="F9" s="3" t="s">
        <v>14</v>
      </c>
      <c r="G9" s="3">
        <v>10</v>
      </c>
      <c r="H9" s="14">
        <v>88.28</v>
      </c>
      <c r="I9" s="14">
        <f t="shared" si="0"/>
        <v>882.8</v>
      </c>
      <c r="J9" s="3" t="str">
        <f t="shared" si="1"/>
        <v>Jul-25</v>
      </c>
    </row>
    <row r="10" spans="1:10" x14ac:dyDescent="0.35">
      <c r="A10" s="3" t="s">
        <v>33</v>
      </c>
      <c r="B10" s="4">
        <v>45843</v>
      </c>
      <c r="C10" s="3" t="s">
        <v>19</v>
      </c>
      <c r="D10" s="3" t="s">
        <v>16</v>
      </c>
      <c r="E10" s="3" t="s">
        <v>13</v>
      </c>
      <c r="F10" s="3" t="s">
        <v>34</v>
      </c>
      <c r="G10" s="3">
        <v>11</v>
      </c>
      <c r="H10" s="14">
        <v>924.15</v>
      </c>
      <c r="I10" s="14">
        <f t="shared" si="0"/>
        <v>10165.65</v>
      </c>
      <c r="J10" s="3" t="str">
        <f t="shared" si="1"/>
        <v>Jul-25</v>
      </c>
    </row>
    <row r="11" spans="1:10" x14ac:dyDescent="0.35">
      <c r="A11" s="3" t="s">
        <v>35</v>
      </c>
      <c r="B11" s="4">
        <v>45806</v>
      </c>
      <c r="C11" s="3" t="s">
        <v>11</v>
      </c>
      <c r="D11" s="3" t="s">
        <v>20</v>
      </c>
      <c r="E11" s="3" t="s">
        <v>21</v>
      </c>
      <c r="F11" s="3" t="s">
        <v>34</v>
      </c>
      <c r="G11" s="3">
        <v>7</v>
      </c>
      <c r="H11" s="14">
        <v>34.22</v>
      </c>
      <c r="I11" s="14">
        <f t="shared" si="0"/>
        <v>239.54</v>
      </c>
      <c r="J11" s="3" t="str">
        <f t="shared" si="1"/>
        <v>May-25</v>
      </c>
    </row>
    <row r="12" spans="1:10" x14ac:dyDescent="0.35">
      <c r="A12" s="3" t="s">
        <v>36</v>
      </c>
      <c r="B12" s="4">
        <v>45983</v>
      </c>
      <c r="C12" s="3" t="s">
        <v>30</v>
      </c>
      <c r="D12" s="3" t="s">
        <v>37</v>
      </c>
      <c r="E12" s="3" t="s">
        <v>21</v>
      </c>
      <c r="F12" s="3" t="s">
        <v>27</v>
      </c>
      <c r="G12" s="3">
        <v>6</v>
      </c>
      <c r="H12" s="14">
        <v>213.61</v>
      </c>
      <c r="I12" s="14">
        <f t="shared" si="0"/>
        <v>1281.6600000000001</v>
      </c>
      <c r="J12" s="3" t="str">
        <f t="shared" si="1"/>
        <v>Nov-25</v>
      </c>
    </row>
    <row r="13" spans="1:10" x14ac:dyDescent="0.35">
      <c r="A13" s="3" t="s">
        <v>38</v>
      </c>
      <c r="B13" s="4">
        <v>45794</v>
      </c>
      <c r="C13" s="3" t="s">
        <v>11</v>
      </c>
      <c r="D13" s="3" t="s">
        <v>37</v>
      </c>
      <c r="E13" s="3" t="s">
        <v>21</v>
      </c>
      <c r="F13" s="3" t="s">
        <v>17</v>
      </c>
      <c r="G13" s="3">
        <v>12</v>
      </c>
      <c r="H13" s="14">
        <v>214.39</v>
      </c>
      <c r="I13" s="14">
        <f t="shared" si="0"/>
        <v>2572.6799999999998</v>
      </c>
      <c r="J13" s="3" t="str">
        <f t="shared" si="1"/>
        <v>May-25</v>
      </c>
    </row>
    <row r="14" spans="1:10" x14ac:dyDescent="0.35">
      <c r="A14" s="3" t="s">
        <v>39</v>
      </c>
      <c r="B14" s="4">
        <v>45894</v>
      </c>
      <c r="C14" s="3" t="s">
        <v>23</v>
      </c>
      <c r="D14" s="3" t="s">
        <v>32</v>
      </c>
      <c r="E14" s="3" t="s">
        <v>21</v>
      </c>
      <c r="F14" s="3" t="s">
        <v>14</v>
      </c>
      <c r="G14" s="3">
        <v>12</v>
      </c>
      <c r="H14" s="14">
        <v>85.48</v>
      </c>
      <c r="I14" s="14">
        <f t="shared" si="0"/>
        <v>1025.76</v>
      </c>
      <c r="J14" s="3" t="str">
        <f t="shared" si="1"/>
        <v>Aug-25</v>
      </c>
    </row>
    <row r="15" spans="1:10" x14ac:dyDescent="0.35">
      <c r="A15" s="3" t="s">
        <v>40</v>
      </c>
      <c r="B15" s="4">
        <v>46008</v>
      </c>
      <c r="C15" s="3" t="s">
        <v>30</v>
      </c>
      <c r="D15" s="3" t="s">
        <v>12</v>
      </c>
      <c r="E15" s="3" t="s">
        <v>13</v>
      </c>
      <c r="F15" s="3" t="s">
        <v>41</v>
      </c>
      <c r="G15" s="3">
        <v>1</v>
      </c>
      <c r="H15" s="14">
        <v>1236.6099999999999</v>
      </c>
      <c r="I15" s="14">
        <f t="shared" si="0"/>
        <v>1236.6099999999999</v>
      </c>
      <c r="J15" s="3" t="str">
        <f t="shared" si="1"/>
        <v>Dec-25</v>
      </c>
    </row>
    <row r="16" spans="1:10" x14ac:dyDescent="0.35">
      <c r="A16" s="3" t="s">
        <v>42</v>
      </c>
      <c r="B16" s="4">
        <v>45863</v>
      </c>
      <c r="C16" s="3" t="s">
        <v>30</v>
      </c>
      <c r="D16" s="3" t="s">
        <v>16</v>
      </c>
      <c r="E16" s="3" t="s">
        <v>13</v>
      </c>
      <c r="F16" s="3" t="s">
        <v>41</v>
      </c>
      <c r="G16" s="3">
        <v>10</v>
      </c>
      <c r="H16" s="14">
        <v>985.75</v>
      </c>
      <c r="I16" s="14">
        <f t="shared" si="0"/>
        <v>9857.5</v>
      </c>
      <c r="J16" s="3" t="str">
        <f t="shared" si="1"/>
        <v>Jul-25</v>
      </c>
    </row>
    <row r="17" spans="1:10" x14ac:dyDescent="0.35">
      <c r="A17" s="3" t="s">
        <v>43</v>
      </c>
      <c r="B17" s="4">
        <v>45819</v>
      </c>
      <c r="C17" s="3" t="s">
        <v>19</v>
      </c>
      <c r="D17" s="3" t="s">
        <v>44</v>
      </c>
      <c r="E17" s="3" t="s">
        <v>21</v>
      </c>
      <c r="F17" s="3" t="s">
        <v>24</v>
      </c>
      <c r="G17" s="3">
        <v>11</v>
      </c>
      <c r="H17" s="14">
        <v>59.75</v>
      </c>
      <c r="I17" s="14">
        <f t="shared" si="0"/>
        <v>657.25</v>
      </c>
      <c r="J17" s="3" t="str">
        <f t="shared" si="1"/>
        <v>Jun-25</v>
      </c>
    </row>
    <row r="18" spans="1:10" x14ac:dyDescent="0.35">
      <c r="A18" s="3" t="s">
        <v>45</v>
      </c>
      <c r="B18" s="4">
        <v>45793</v>
      </c>
      <c r="C18" s="3" t="s">
        <v>19</v>
      </c>
      <c r="D18" s="3" t="s">
        <v>20</v>
      </c>
      <c r="E18" s="3" t="s">
        <v>21</v>
      </c>
      <c r="F18" s="3" t="s">
        <v>14</v>
      </c>
      <c r="G18" s="3">
        <v>9</v>
      </c>
      <c r="H18" s="14">
        <v>35.14</v>
      </c>
      <c r="I18" s="14">
        <f t="shared" si="0"/>
        <v>316.26</v>
      </c>
      <c r="J18" s="3" t="str">
        <f t="shared" si="1"/>
        <v>May-25</v>
      </c>
    </row>
    <row r="19" spans="1:10" x14ac:dyDescent="0.35">
      <c r="A19" s="3" t="s">
        <v>46</v>
      </c>
      <c r="B19" s="4">
        <v>45957</v>
      </c>
      <c r="C19" s="3" t="s">
        <v>23</v>
      </c>
      <c r="D19" s="3" t="s">
        <v>26</v>
      </c>
      <c r="E19" s="3" t="s">
        <v>21</v>
      </c>
      <c r="F19" s="3" t="s">
        <v>27</v>
      </c>
      <c r="G19" s="3">
        <v>4</v>
      </c>
      <c r="H19" s="14">
        <v>99.72</v>
      </c>
      <c r="I19" s="14">
        <f t="shared" si="0"/>
        <v>398.88</v>
      </c>
      <c r="J19" s="3" t="str">
        <f t="shared" si="1"/>
        <v>Oct-25</v>
      </c>
    </row>
    <row r="20" spans="1:10" x14ac:dyDescent="0.35">
      <c r="A20" s="3" t="s">
        <v>47</v>
      </c>
      <c r="B20" s="4">
        <v>45728</v>
      </c>
      <c r="C20" s="3" t="s">
        <v>23</v>
      </c>
      <c r="D20" s="3" t="s">
        <v>16</v>
      </c>
      <c r="E20" s="3" t="s">
        <v>13</v>
      </c>
      <c r="F20" s="3" t="s">
        <v>34</v>
      </c>
      <c r="G20" s="3">
        <v>2</v>
      </c>
      <c r="H20" s="14">
        <v>917.02</v>
      </c>
      <c r="I20" s="14">
        <f t="shared" si="0"/>
        <v>1834.04</v>
      </c>
      <c r="J20" s="3" t="str">
        <f t="shared" si="1"/>
        <v>Mar-25</v>
      </c>
    </row>
    <row r="21" spans="1:10" x14ac:dyDescent="0.35">
      <c r="A21" s="3" t="s">
        <v>48</v>
      </c>
      <c r="B21" s="4">
        <v>45739</v>
      </c>
      <c r="C21" s="3" t="s">
        <v>23</v>
      </c>
      <c r="D21" s="3" t="s">
        <v>16</v>
      </c>
      <c r="E21" s="3" t="s">
        <v>13</v>
      </c>
      <c r="F21" s="3" t="s">
        <v>24</v>
      </c>
      <c r="G21" s="3">
        <v>7</v>
      </c>
      <c r="H21" s="14">
        <v>959.11</v>
      </c>
      <c r="I21" s="14">
        <f t="shared" si="0"/>
        <v>6713.77</v>
      </c>
      <c r="J21" s="3" t="str">
        <f t="shared" si="1"/>
        <v>Mar-25</v>
      </c>
    </row>
    <row r="22" spans="1:10" x14ac:dyDescent="0.35">
      <c r="A22" s="3" t="s">
        <v>49</v>
      </c>
      <c r="B22" s="4">
        <v>45897</v>
      </c>
      <c r="C22" s="3" t="s">
        <v>30</v>
      </c>
      <c r="D22" s="3" t="s">
        <v>12</v>
      </c>
      <c r="E22" s="3" t="s">
        <v>13</v>
      </c>
      <c r="F22" s="3" t="s">
        <v>14</v>
      </c>
      <c r="G22" s="3">
        <v>12</v>
      </c>
      <c r="H22" s="14">
        <v>1153.75</v>
      </c>
      <c r="I22" s="14">
        <f t="shared" si="0"/>
        <v>13845</v>
      </c>
      <c r="J22" s="3" t="str">
        <f t="shared" si="1"/>
        <v>Aug-25</v>
      </c>
    </row>
    <row r="23" spans="1:10" x14ac:dyDescent="0.35">
      <c r="A23" s="3" t="s">
        <v>50</v>
      </c>
      <c r="B23" s="4">
        <v>45932</v>
      </c>
      <c r="C23" s="3" t="s">
        <v>30</v>
      </c>
      <c r="D23" s="3" t="s">
        <v>51</v>
      </c>
      <c r="E23" s="3" t="s">
        <v>21</v>
      </c>
      <c r="F23" s="3" t="s">
        <v>34</v>
      </c>
      <c r="G23" s="3">
        <v>5</v>
      </c>
      <c r="H23" s="14">
        <v>178.83</v>
      </c>
      <c r="I23" s="14">
        <f t="shared" si="0"/>
        <v>894.15000000000009</v>
      </c>
      <c r="J23" s="3" t="str">
        <f t="shared" si="1"/>
        <v>Oct-25</v>
      </c>
    </row>
    <row r="24" spans="1:10" x14ac:dyDescent="0.35">
      <c r="A24" s="3" t="s">
        <v>52</v>
      </c>
      <c r="B24" s="4">
        <v>45890</v>
      </c>
      <c r="C24" s="3" t="s">
        <v>11</v>
      </c>
      <c r="D24" s="3" t="s">
        <v>32</v>
      </c>
      <c r="E24" s="3" t="s">
        <v>21</v>
      </c>
      <c r="F24" s="3" t="s">
        <v>17</v>
      </c>
      <c r="G24" s="3">
        <v>3</v>
      </c>
      <c r="H24" s="14">
        <v>85.07</v>
      </c>
      <c r="I24" s="14">
        <f t="shared" si="0"/>
        <v>255.20999999999998</v>
      </c>
      <c r="J24" s="3" t="str">
        <f t="shared" si="1"/>
        <v>Aug-25</v>
      </c>
    </row>
    <row r="25" spans="1:10" x14ac:dyDescent="0.35">
      <c r="A25" s="3" t="s">
        <v>53</v>
      </c>
      <c r="B25" s="4">
        <v>45712</v>
      </c>
      <c r="C25" s="3" t="s">
        <v>30</v>
      </c>
      <c r="D25" s="3" t="s">
        <v>20</v>
      </c>
      <c r="E25" s="3" t="s">
        <v>21</v>
      </c>
      <c r="F25" s="3" t="s">
        <v>41</v>
      </c>
      <c r="G25" s="3">
        <v>6</v>
      </c>
      <c r="H25" s="14">
        <v>35.92</v>
      </c>
      <c r="I25" s="14">
        <f t="shared" si="0"/>
        <v>215.52</v>
      </c>
      <c r="J25" s="3" t="str">
        <f t="shared" si="1"/>
        <v>Feb-25</v>
      </c>
    </row>
    <row r="26" spans="1:10" x14ac:dyDescent="0.35">
      <c r="A26" s="3" t="s">
        <v>54</v>
      </c>
      <c r="B26" s="4">
        <v>45934</v>
      </c>
      <c r="C26" s="3" t="s">
        <v>11</v>
      </c>
      <c r="D26" s="3" t="s">
        <v>51</v>
      </c>
      <c r="E26" s="3" t="s">
        <v>21</v>
      </c>
      <c r="F26" s="3" t="s">
        <v>24</v>
      </c>
      <c r="G26" s="3">
        <v>1</v>
      </c>
      <c r="H26" s="14">
        <v>173.01</v>
      </c>
      <c r="I26" s="14">
        <f t="shared" si="0"/>
        <v>173.01</v>
      </c>
      <c r="J26" s="3" t="str">
        <f t="shared" si="1"/>
        <v>Oct-25</v>
      </c>
    </row>
    <row r="27" spans="1:10" x14ac:dyDescent="0.35">
      <c r="A27" s="3" t="s">
        <v>55</v>
      </c>
      <c r="B27" s="4">
        <v>45843</v>
      </c>
      <c r="C27" s="3" t="s">
        <v>30</v>
      </c>
      <c r="D27" s="3" t="s">
        <v>20</v>
      </c>
      <c r="E27" s="3" t="s">
        <v>21</v>
      </c>
      <c r="F27" s="3" t="s">
        <v>34</v>
      </c>
      <c r="G27" s="3">
        <v>4</v>
      </c>
      <c r="H27" s="14">
        <v>36.32</v>
      </c>
      <c r="I27" s="14">
        <f t="shared" si="0"/>
        <v>145.28</v>
      </c>
      <c r="J27" s="3" t="str">
        <f t="shared" si="1"/>
        <v>Jul-25</v>
      </c>
    </row>
    <row r="28" spans="1:10" x14ac:dyDescent="0.35">
      <c r="A28" s="3" t="s">
        <v>56</v>
      </c>
      <c r="B28" s="4">
        <v>45698</v>
      </c>
      <c r="C28" s="3" t="s">
        <v>11</v>
      </c>
      <c r="D28" s="3" t="s">
        <v>44</v>
      </c>
      <c r="E28" s="3" t="s">
        <v>21</v>
      </c>
      <c r="F28" s="3" t="s">
        <v>34</v>
      </c>
      <c r="G28" s="3">
        <v>9</v>
      </c>
      <c r="H28" s="14">
        <v>61.6</v>
      </c>
      <c r="I28" s="14">
        <f t="shared" si="0"/>
        <v>554.4</v>
      </c>
      <c r="J28" s="3" t="str">
        <f t="shared" si="1"/>
        <v>Feb-25</v>
      </c>
    </row>
    <row r="29" spans="1:10" x14ac:dyDescent="0.35">
      <c r="A29" s="3" t="s">
        <v>57</v>
      </c>
      <c r="B29" s="4">
        <v>45723</v>
      </c>
      <c r="C29" s="3" t="s">
        <v>23</v>
      </c>
      <c r="D29" s="3" t="s">
        <v>37</v>
      </c>
      <c r="E29" s="3" t="s">
        <v>21</v>
      </c>
      <c r="F29" s="3" t="s">
        <v>27</v>
      </c>
      <c r="G29" s="3">
        <v>9</v>
      </c>
      <c r="H29" s="14">
        <v>228.19</v>
      </c>
      <c r="I29" s="14">
        <f t="shared" si="0"/>
        <v>2053.71</v>
      </c>
      <c r="J29" s="3" t="str">
        <f t="shared" si="1"/>
        <v>Mar-25</v>
      </c>
    </row>
    <row r="30" spans="1:10" x14ac:dyDescent="0.35">
      <c r="A30" s="3" t="s">
        <v>58</v>
      </c>
      <c r="B30" s="4">
        <v>45874</v>
      </c>
      <c r="C30" s="3" t="s">
        <v>19</v>
      </c>
      <c r="D30" s="3" t="s">
        <v>20</v>
      </c>
      <c r="E30" s="3" t="s">
        <v>21</v>
      </c>
      <c r="F30" s="3" t="s">
        <v>14</v>
      </c>
      <c r="G30" s="3">
        <v>5</v>
      </c>
      <c r="H30" s="14">
        <v>34.65</v>
      </c>
      <c r="I30" s="14">
        <f t="shared" si="0"/>
        <v>173.25</v>
      </c>
      <c r="J30" s="3" t="str">
        <f t="shared" si="1"/>
        <v>Aug-25</v>
      </c>
    </row>
    <row r="31" spans="1:10" x14ac:dyDescent="0.35">
      <c r="A31" s="3" t="s">
        <v>59</v>
      </c>
      <c r="B31" s="4">
        <v>46001</v>
      </c>
      <c r="C31" s="3" t="s">
        <v>30</v>
      </c>
      <c r="D31" s="3" t="s">
        <v>44</v>
      </c>
      <c r="E31" s="3" t="s">
        <v>21</v>
      </c>
      <c r="F31" s="3" t="s">
        <v>17</v>
      </c>
      <c r="G31" s="3">
        <v>8</v>
      </c>
      <c r="H31" s="14">
        <v>57.73</v>
      </c>
      <c r="I31" s="14">
        <f t="shared" si="0"/>
        <v>461.84</v>
      </c>
      <c r="J31" s="3" t="str">
        <f t="shared" si="1"/>
        <v>Dec-25</v>
      </c>
    </row>
    <row r="32" spans="1:10" x14ac:dyDescent="0.35">
      <c r="A32" s="3" t="s">
        <v>60</v>
      </c>
      <c r="B32" s="4">
        <v>45773</v>
      </c>
      <c r="C32" s="3" t="s">
        <v>11</v>
      </c>
      <c r="D32" s="3" t="s">
        <v>51</v>
      </c>
      <c r="E32" s="3" t="s">
        <v>21</v>
      </c>
      <c r="F32" s="3" t="s">
        <v>34</v>
      </c>
      <c r="G32" s="3">
        <v>10</v>
      </c>
      <c r="H32" s="14">
        <v>180.97</v>
      </c>
      <c r="I32" s="14">
        <f t="shared" si="0"/>
        <v>1809.7</v>
      </c>
      <c r="J32" s="3" t="str">
        <f t="shared" si="1"/>
        <v>Apr-25</v>
      </c>
    </row>
    <row r="33" spans="1:10" x14ac:dyDescent="0.35">
      <c r="A33" s="3" t="s">
        <v>61</v>
      </c>
      <c r="B33" s="4">
        <v>45959</v>
      </c>
      <c r="C33" s="3" t="s">
        <v>19</v>
      </c>
      <c r="D33" s="3" t="s">
        <v>12</v>
      </c>
      <c r="E33" s="3" t="s">
        <v>13</v>
      </c>
      <c r="F33" s="3" t="s">
        <v>34</v>
      </c>
      <c r="G33" s="3">
        <v>12</v>
      </c>
      <c r="H33" s="14">
        <v>1215.73</v>
      </c>
      <c r="I33" s="14">
        <f t="shared" si="0"/>
        <v>14588.76</v>
      </c>
      <c r="J33" s="3" t="str">
        <f t="shared" si="1"/>
        <v>Oct-25</v>
      </c>
    </row>
    <row r="34" spans="1:10" x14ac:dyDescent="0.35">
      <c r="A34" s="3" t="s">
        <v>62</v>
      </c>
      <c r="B34" s="4">
        <v>45775</v>
      </c>
      <c r="C34" s="3" t="s">
        <v>11</v>
      </c>
      <c r="D34" s="3" t="s">
        <v>12</v>
      </c>
      <c r="E34" s="3" t="s">
        <v>13</v>
      </c>
      <c r="F34" s="3" t="s">
        <v>27</v>
      </c>
      <c r="G34" s="3">
        <v>2</v>
      </c>
      <c r="H34" s="14">
        <v>1201.7</v>
      </c>
      <c r="I34" s="14">
        <f t="shared" ref="I34:I65" si="2">G34*H34</f>
        <v>2403.4</v>
      </c>
      <c r="J34" s="3" t="str">
        <f t="shared" ref="J34:J65" si="3">TEXT(B34,"mmm-yy")</f>
        <v>Apr-25</v>
      </c>
    </row>
    <row r="35" spans="1:10" x14ac:dyDescent="0.35">
      <c r="A35" s="3" t="s">
        <v>63</v>
      </c>
      <c r="B35" s="4">
        <v>45800</v>
      </c>
      <c r="C35" s="3" t="s">
        <v>23</v>
      </c>
      <c r="D35" s="3" t="s">
        <v>20</v>
      </c>
      <c r="E35" s="3" t="s">
        <v>21</v>
      </c>
      <c r="F35" s="3" t="s">
        <v>17</v>
      </c>
      <c r="G35" s="3">
        <v>3</v>
      </c>
      <c r="H35" s="14">
        <v>35.78</v>
      </c>
      <c r="I35" s="14">
        <f t="shared" si="2"/>
        <v>107.34</v>
      </c>
      <c r="J35" s="3" t="str">
        <f t="shared" si="3"/>
        <v>May-25</v>
      </c>
    </row>
    <row r="36" spans="1:10" x14ac:dyDescent="0.35">
      <c r="A36" s="3" t="s">
        <v>64</v>
      </c>
      <c r="B36" s="4">
        <v>45950</v>
      </c>
      <c r="C36" s="3" t="s">
        <v>23</v>
      </c>
      <c r="D36" s="3" t="s">
        <v>20</v>
      </c>
      <c r="E36" s="3" t="s">
        <v>21</v>
      </c>
      <c r="F36" s="3" t="s">
        <v>24</v>
      </c>
      <c r="G36" s="3">
        <v>7</v>
      </c>
      <c r="H36" s="14">
        <v>33.92</v>
      </c>
      <c r="I36" s="14">
        <f t="shared" si="2"/>
        <v>237.44</v>
      </c>
      <c r="J36" s="3" t="str">
        <f t="shared" si="3"/>
        <v>Oct-25</v>
      </c>
    </row>
    <row r="37" spans="1:10" x14ac:dyDescent="0.35">
      <c r="A37" s="3" t="s">
        <v>65</v>
      </c>
      <c r="B37" s="4">
        <v>45707</v>
      </c>
      <c r="C37" s="3" t="s">
        <v>23</v>
      </c>
      <c r="D37" s="3" t="s">
        <v>51</v>
      </c>
      <c r="E37" s="3" t="s">
        <v>21</v>
      </c>
      <c r="F37" s="3" t="s">
        <v>24</v>
      </c>
      <c r="G37" s="3">
        <v>7</v>
      </c>
      <c r="H37" s="14">
        <v>179.41</v>
      </c>
      <c r="I37" s="14">
        <f t="shared" si="2"/>
        <v>1255.8699999999999</v>
      </c>
      <c r="J37" s="3" t="str">
        <f t="shared" si="3"/>
        <v>Feb-25</v>
      </c>
    </row>
    <row r="38" spans="1:10" x14ac:dyDescent="0.35">
      <c r="A38" s="3" t="s">
        <v>66</v>
      </c>
      <c r="B38" s="4">
        <v>45685</v>
      </c>
      <c r="C38" s="3" t="s">
        <v>11</v>
      </c>
      <c r="D38" s="3" t="s">
        <v>12</v>
      </c>
      <c r="E38" s="3" t="s">
        <v>13</v>
      </c>
      <c r="F38" s="3" t="s">
        <v>24</v>
      </c>
      <c r="G38" s="3">
        <v>12</v>
      </c>
      <c r="H38" s="14">
        <v>1180.72</v>
      </c>
      <c r="I38" s="14">
        <f t="shared" si="2"/>
        <v>14168.64</v>
      </c>
      <c r="J38" s="3" t="str">
        <f t="shared" si="3"/>
        <v>Jan-25</v>
      </c>
    </row>
    <row r="39" spans="1:10" x14ac:dyDescent="0.35">
      <c r="A39" s="3" t="s">
        <v>67</v>
      </c>
      <c r="B39" s="4">
        <v>45713</v>
      </c>
      <c r="C39" s="3" t="s">
        <v>19</v>
      </c>
      <c r="D39" s="3" t="s">
        <v>20</v>
      </c>
      <c r="E39" s="3" t="s">
        <v>21</v>
      </c>
      <c r="F39" s="3" t="s">
        <v>41</v>
      </c>
      <c r="G39" s="3">
        <v>9</v>
      </c>
      <c r="H39" s="14">
        <v>34.82</v>
      </c>
      <c r="I39" s="14">
        <f t="shared" si="2"/>
        <v>313.38</v>
      </c>
      <c r="J39" s="3" t="str">
        <f t="shared" si="3"/>
        <v>Feb-25</v>
      </c>
    </row>
    <row r="40" spans="1:10" x14ac:dyDescent="0.35">
      <c r="A40" s="3" t="s">
        <v>68</v>
      </c>
      <c r="B40" s="4">
        <v>45874</v>
      </c>
      <c r="C40" s="3" t="s">
        <v>19</v>
      </c>
      <c r="D40" s="3" t="s">
        <v>32</v>
      </c>
      <c r="E40" s="3" t="s">
        <v>21</v>
      </c>
      <c r="F40" s="3" t="s">
        <v>24</v>
      </c>
      <c r="G40" s="3">
        <v>4</v>
      </c>
      <c r="H40" s="14">
        <v>88.18</v>
      </c>
      <c r="I40" s="14">
        <f t="shared" si="2"/>
        <v>352.72</v>
      </c>
      <c r="J40" s="3" t="str">
        <f t="shared" si="3"/>
        <v>Aug-25</v>
      </c>
    </row>
    <row r="41" spans="1:10" x14ac:dyDescent="0.35">
      <c r="A41" s="3" t="s">
        <v>69</v>
      </c>
      <c r="B41" s="4">
        <v>45696</v>
      </c>
      <c r="C41" s="3" t="s">
        <v>23</v>
      </c>
      <c r="D41" s="3" t="s">
        <v>16</v>
      </c>
      <c r="E41" s="3" t="s">
        <v>13</v>
      </c>
      <c r="F41" s="3" t="s">
        <v>34</v>
      </c>
      <c r="G41" s="3">
        <v>11</v>
      </c>
      <c r="H41" s="14">
        <v>997.43</v>
      </c>
      <c r="I41" s="14">
        <f t="shared" si="2"/>
        <v>10971.73</v>
      </c>
      <c r="J41" s="3" t="str">
        <f t="shared" si="3"/>
        <v>Feb-25</v>
      </c>
    </row>
    <row r="42" spans="1:10" x14ac:dyDescent="0.35">
      <c r="A42" s="3" t="s">
        <v>70</v>
      </c>
      <c r="B42" s="4">
        <v>45665</v>
      </c>
      <c r="C42" s="3" t="s">
        <v>11</v>
      </c>
      <c r="D42" s="3" t="s">
        <v>20</v>
      </c>
      <c r="E42" s="3" t="s">
        <v>21</v>
      </c>
      <c r="F42" s="3" t="s">
        <v>41</v>
      </c>
      <c r="G42" s="3">
        <v>7</v>
      </c>
      <c r="H42" s="14">
        <v>34.950000000000003</v>
      </c>
      <c r="I42" s="14">
        <f t="shared" si="2"/>
        <v>244.65000000000003</v>
      </c>
      <c r="J42" s="3" t="str">
        <f t="shared" si="3"/>
        <v>Jan-25</v>
      </c>
    </row>
    <row r="43" spans="1:10" x14ac:dyDescent="0.35">
      <c r="A43" s="3" t="s">
        <v>71</v>
      </c>
      <c r="B43" s="4">
        <v>45767</v>
      </c>
      <c r="C43" s="3" t="s">
        <v>23</v>
      </c>
      <c r="D43" s="3" t="s">
        <v>12</v>
      </c>
      <c r="E43" s="3" t="s">
        <v>13</v>
      </c>
      <c r="F43" s="3" t="s">
        <v>41</v>
      </c>
      <c r="G43" s="3">
        <v>7</v>
      </c>
      <c r="H43" s="14">
        <v>1140.26</v>
      </c>
      <c r="I43" s="14">
        <f t="shared" si="2"/>
        <v>7981.82</v>
      </c>
      <c r="J43" s="3" t="str">
        <f t="shared" si="3"/>
        <v>Apr-25</v>
      </c>
    </row>
    <row r="44" spans="1:10" x14ac:dyDescent="0.35">
      <c r="A44" s="3" t="s">
        <v>72</v>
      </c>
      <c r="B44" s="4">
        <v>45857</v>
      </c>
      <c r="C44" s="3" t="s">
        <v>30</v>
      </c>
      <c r="D44" s="3" t="s">
        <v>44</v>
      </c>
      <c r="E44" s="3" t="s">
        <v>21</v>
      </c>
      <c r="F44" s="3" t="s">
        <v>27</v>
      </c>
      <c r="G44" s="3">
        <v>7</v>
      </c>
      <c r="H44" s="14">
        <v>61.18</v>
      </c>
      <c r="I44" s="14">
        <f t="shared" si="2"/>
        <v>428.26</v>
      </c>
      <c r="J44" s="3" t="str">
        <f t="shared" si="3"/>
        <v>Jul-25</v>
      </c>
    </row>
    <row r="45" spans="1:10" x14ac:dyDescent="0.35">
      <c r="A45" s="3" t="s">
        <v>73</v>
      </c>
      <c r="B45" s="4">
        <v>45942</v>
      </c>
      <c r="C45" s="3" t="s">
        <v>23</v>
      </c>
      <c r="D45" s="3" t="s">
        <v>37</v>
      </c>
      <c r="E45" s="3" t="s">
        <v>21</v>
      </c>
      <c r="F45" s="3" t="s">
        <v>41</v>
      </c>
      <c r="G45" s="3">
        <v>5</v>
      </c>
      <c r="H45" s="14">
        <v>213.79</v>
      </c>
      <c r="I45" s="14">
        <f t="shared" si="2"/>
        <v>1068.95</v>
      </c>
      <c r="J45" s="3" t="str">
        <f t="shared" si="3"/>
        <v>Oct-25</v>
      </c>
    </row>
    <row r="46" spans="1:10" x14ac:dyDescent="0.35">
      <c r="A46" s="3" t="s">
        <v>74</v>
      </c>
      <c r="B46" s="4">
        <v>45687</v>
      </c>
      <c r="C46" s="3" t="s">
        <v>11</v>
      </c>
      <c r="D46" s="3" t="s">
        <v>51</v>
      </c>
      <c r="E46" s="3" t="s">
        <v>21</v>
      </c>
      <c r="F46" s="3" t="s">
        <v>34</v>
      </c>
      <c r="G46" s="3">
        <v>1</v>
      </c>
      <c r="H46" s="14">
        <v>181.52</v>
      </c>
      <c r="I46" s="14">
        <f t="shared" si="2"/>
        <v>181.52</v>
      </c>
      <c r="J46" s="3" t="str">
        <f t="shared" si="3"/>
        <v>Jan-25</v>
      </c>
    </row>
    <row r="47" spans="1:10" x14ac:dyDescent="0.35">
      <c r="A47" s="3" t="s">
        <v>75</v>
      </c>
      <c r="B47" s="4">
        <v>45915</v>
      </c>
      <c r="C47" s="3" t="s">
        <v>19</v>
      </c>
      <c r="D47" s="3" t="s">
        <v>12</v>
      </c>
      <c r="E47" s="3" t="s">
        <v>13</v>
      </c>
      <c r="F47" s="3" t="s">
        <v>17</v>
      </c>
      <c r="G47" s="3">
        <v>2</v>
      </c>
      <c r="H47" s="14">
        <v>1242.1600000000001</v>
      </c>
      <c r="I47" s="14">
        <f t="shared" si="2"/>
        <v>2484.3200000000002</v>
      </c>
      <c r="J47" s="3" t="str">
        <f t="shared" si="3"/>
        <v>Sep-25</v>
      </c>
    </row>
    <row r="48" spans="1:10" x14ac:dyDescent="0.35">
      <c r="A48" s="3" t="s">
        <v>76</v>
      </c>
      <c r="B48" s="4">
        <v>45693</v>
      </c>
      <c r="C48" s="3" t="s">
        <v>11</v>
      </c>
      <c r="D48" s="3" t="s">
        <v>20</v>
      </c>
      <c r="E48" s="3" t="s">
        <v>21</v>
      </c>
      <c r="F48" s="3" t="s">
        <v>24</v>
      </c>
      <c r="G48" s="3">
        <v>2</v>
      </c>
      <c r="H48" s="14">
        <v>36.549999999999997</v>
      </c>
      <c r="I48" s="14">
        <f t="shared" si="2"/>
        <v>73.099999999999994</v>
      </c>
      <c r="J48" s="3" t="str">
        <f t="shared" si="3"/>
        <v>Feb-25</v>
      </c>
    </row>
    <row r="49" spans="1:10" x14ac:dyDescent="0.35">
      <c r="A49" s="3" t="s">
        <v>77</v>
      </c>
      <c r="B49" s="4">
        <v>45949</v>
      </c>
      <c r="C49" s="3" t="s">
        <v>19</v>
      </c>
      <c r="D49" s="3" t="s">
        <v>12</v>
      </c>
      <c r="E49" s="3" t="s">
        <v>13</v>
      </c>
      <c r="F49" s="3" t="s">
        <v>17</v>
      </c>
      <c r="G49" s="3">
        <v>2</v>
      </c>
      <c r="H49" s="14">
        <v>1190.31</v>
      </c>
      <c r="I49" s="14">
        <f t="shared" si="2"/>
        <v>2380.62</v>
      </c>
      <c r="J49" s="3" t="str">
        <f t="shared" si="3"/>
        <v>Oct-25</v>
      </c>
    </row>
    <row r="50" spans="1:10" x14ac:dyDescent="0.35">
      <c r="A50" s="3" t="s">
        <v>78</v>
      </c>
      <c r="B50" s="4">
        <v>45956</v>
      </c>
      <c r="C50" s="3" t="s">
        <v>30</v>
      </c>
      <c r="D50" s="3" t="s">
        <v>32</v>
      </c>
      <c r="E50" s="3" t="s">
        <v>21</v>
      </c>
      <c r="F50" s="3" t="s">
        <v>41</v>
      </c>
      <c r="G50" s="3">
        <v>11</v>
      </c>
      <c r="H50" s="14">
        <v>86.84</v>
      </c>
      <c r="I50" s="14">
        <f t="shared" si="2"/>
        <v>955.24</v>
      </c>
      <c r="J50" s="3" t="str">
        <f t="shared" si="3"/>
        <v>Oct-25</v>
      </c>
    </row>
    <row r="51" spans="1:10" x14ac:dyDescent="0.35">
      <c r="A51" s="3" t="s">
        <v>79</v>
      </c>
      <c r="B51" s="4">
        <v>45780</v>
      </c>
      <c r="C51" s="3" t="s">
        <v>30</v>
      </c>
      <c r="D51" s="3" t="s">
        <v>26</v>
      </c>
      <c r="E51" s="3" t="s">
        <v>21</v>
      </c>
      <c r="F51" s="3" t="s">
        <v>41</v>
      </c>
      <c r="G51" s="3">
        <v>11</v>
      </c>
      <c r="H51" s="14">
        <v>96.38</v>
      </c>
      <c r="I51" s="14">
        <f t="shared" si="2"/>
        <v>1060.1799999999998</v>
      </c>
      <c r="J51" s="3" t="str">
        <f t="shared" si="3"/>
        <v>May-25</v>
      </c>
    </row>
    <row r="52" spans="1:10" x14ac:dyDescent="0.35">
      <c r="A52" s="3" t="s">
        <v>80</v>
      </c>
      <c r="B52" s="4">
        <v>45892</v>
      </c>
      <c r="C52" s="3" t="s">
        <v>30</v>
      </c>
      <c r="D52" s="3" t="s">
        <v>16</v>
      </c>
      <c r="E52" s="3" t="s">
        <v>13</v>
      </c>
      <c r="F52" s="3" t="s">
        <v>34</v>
      </c>
      <c r="G52" s="3">
        <v>8</v>
      </c>
      <c r="H52" s="14">
        <v>961.51</v>
      </c>
      <c r="I52" s="14">
        <f t="shared" si="2"/>
        <v>7692.08</v>
      </c>
      <c r="J52" s="3" t="str">
        <f t="shared" si="3"/>
        <v>Aug-25</v>
      </c>
    </row>
    <row r="53" spans="1:10" x14ac:dyDescent="0.35">
      <c r="A53" s="3" t="s">
        <v>81</v>
      </c>
      <c r="B53" s="4">
        <v>45946</v>
      </c>
      <c r="C53" s="3" t="s">
        <v>11</v>
      </c>
      <c r="D53" s="3" t="s">
        <v>16</v>
      </c>
      <c r="E53" s="3" t="s">
        <v>13</v>
      </c>
      <c r="F53" s="3" t="s">
        <v>17</v>
      </c>
      <c r="G53" s="3">
        <v>4</v>
      </c>
      <c r="H53" s="14">
        <v>950.56</v>
      </c>
      <c r="I53" s="14">
        <f t="shared" si="2"/>
        <v>3802.24</v>
      </c>
      <c r="J53" s="3" t="str">
        <f t="shared" si="3"/>
        <v>Oct-25</v>
      </c>
    </row>
    <row r="54" spans="1:10" x14ac:dyDescent="0.35">
      <c r="A54" s="3" t="s">
        <v>82</v>
      </c>
      <c r="B54" s="4">
        <v>45725</v>
      </c>
      <c r="C54" s="3" t="s">
        <v>30</v>
      </c>
      <c r="D54" s="3" t="s">
        <v>16</v>
      </c>
      <c r="E54" s="3" t="s">
        <v>13</v>
      </c>
      <c r="F54" s="3" t="s">
        <v>41</v>
      </c>
      <c r="G54" s="3">
        <v>6</v>
      </c>
      <c r="H54" s="14">
        <v>929.57</v>
      </c>
      <c r="I54" s="14">
        <f t="shared" si="2"/>
        <v>5577.42</v>
      </c>
      <c r="J54" s="3" t="str">
        <f t="shared" si="3"/>
        <v>Mar-25</v>
      </c>
    </row>
    <row r="55" spans="1:10" x14ac:dyDescent="0.35">
      <c r="A55" s="3" t="s">
        <v>83</v>
      </c>
      <c r="B55" s="4">
        <v>45882</v>
      </c>
      <c r="C55" s="3" t="s">
        <v>30</v>
      </c>
      <c r="D55" s="3" t="s">
        <v>12</v>
      </c>
      <c r="E55" s="3" t="s">
        <v>13</v>
      </c>
      <c r="F55" s="3" t="s">
        <v>14</v>
      </c>
      <c r="G55" s="3">
        <v>9</v>
      </c>
      <c r="H55" s="14">
        <v>1175.93</v>
      </c>
      <c r="I55" s="14">
        <f t="shared" si="2"/>
        <v>10583.37</v>
      </c>
      <c r="J55" s="3" t="str">
        <f t="shared" si="3"/>
        <v>Aug-25</v>
      </c>
    </row>
    <row r="56" spans="1:10" x14ac:dyDescent="0.35">
      <c r="A56" s="3" t="s">
        <v>84</v>
      </c>
      <c r="B56" s="4">
        <v>45997</v>
      </c>
      <c r="C56" s="3" t="s">
        <v>11</v>
      </c>
      <c r="D56" s="3" t="s">
        <v>37</v>
      </c>
      <c r="E56" s="3" t="s">
        <v>21</v>
      </c>
      <c r="F56" s="3" t="s">
        <v>27</v>
      </c>
      <c r="G56" s="3">
        <v>2</v>
      </c>
      <c r="H56" s="14">
        <v>228.57</v>
      </c>
      <c r="I56" s="14">
        <f t="shared" si="2"/>
        <v>457.14</v>
      </c>
      <c r="J56" s="3" t="str">
        <f t="shared" si="3"/>
        <v>Dec-25</v>
      </c>
    </row>
    <row r="57" spans="1:10" x14ac:dyDescent="0.35">
      <c r="A57" s="3" t="s">
        <v>85</v>
      </c>
      <c r="B57" s="4">
        <v>45941</v>
      </c>
      <c r="C57" s="3" t="s">
        <v>19</v>
      </c>
      <c r="D57" s="3" t="s">
        <v>32</v>
      </c>
      <c r="E57" s="3" t="s">
        <v>21</v>
      </c>
      <c r="F57" s="3" t="s">
        <v>27</v>
      </c>
      <c r="G57" s="3">
        <v>10</v>
      </c>
      <c r="H57" s="14">
        <v>82.54</v>
      </c>
      <c r="I57" s="14">
        <f t="shared" si="2"/>
        <v>825.40000000000009</v>
      </c>
      <c r="J57" s="3" t="str">
        <f t="shared" si="3"/>
        <v>Oct-25</v>
      </c>
    </row>
    <row r="58" spans="1:10" x14ac:dyDescent="0.35">
      <c r="A58" s="3" t="s">
        <v>86</v>
      </c>
      <c r="B58" s="4">
        <v>45833</v>
      </c>
      <c r="C58" s="3" t="s">
        <v>19</v>
      </c>
      <c r="D58" s="3" t="s">
        <v>32</v>
      </c>
      <c r="E58" s="3" t="s">
        <v>21</v>
      </c>
      <c r="F58" s="3" t="s">
        <v>17</v>
      </c>
      <c r="G58" s="3">
        <v>8</v>
      </c>
      <c r="H58" s="14">
        <v>82.88</v>
      </c>
      <c r="I58" s="14">
        <f t="shared" si="2"/>
        <v>663.04</v>
      </c>
      <c r="J58" s="3" t="str">
        <f t="shared" si="3"/>
        <v>Jun-25</v>
      </c>
    </row>
    <row r="59" spans="1:10" x14ac:dyDescent="0.35">
      <c r="A59" s="3" t="s">
        <v>87</v>
      </c>
      <c r="B59" s="4">
        <v>45684</v>
      </c>
      <c r="C59" s="3" t="s">
        <v>11</v>
      </c>
      <c r="D59" s="3" t="s">
        <v>26</v>
      </c>
      <c r="E59" s="3" t="s">
        <v>21</v>
      </c>
      <c r="F59" s="3" t="s">
        <v>27</v>
      </c>
      <c r="G59" s="3">
        <v>1</v>
      </c>
      <c r="H59" s="14">
        <v>90.28</v>
      </c>
      <c r="I59" s="14">
        <f t="shared" si="2"/>
        <v>90.28</v>
      </c>
      <c r="J59" s="3" t="str">
        <f t="shared" si="3"/>
        <v>Jan-25</v>
      </c>
    </row>
    <row r="60" spans="1:10" x14ac:dyDescent="0.35">
      <c r="A60" s="3" t="s">
        <v>88</v>
      </c>
      <c r="B60" s="4">
        <v>45724</v>
      </c>
      <c r="C60" s="3" t="s">
        <v>30</v>
      </c>
      <c r="D60" s="3" t="s">
        <v>37</v>
      </c>
      <c r="E60" s="3" t="s">
        <v>21</v>
      </c>
      <c r="F60" s="3" t="s">
        <v>14</v>
      </c>
      <c r="G60" s="3">
        <v>8</v>
      </c>
      <c r="H60" s="14">
        <v>221.14</v>
      </c>
      <c r="I60" s="14">
        <f t="shared" si="2"/>
        <v>1769.12</v>
      </c>
      <c r="J60" s="3" t="str">
        <f t="shared" si="3"/>
        <v>Mar-25</v>
      </c>
    </row>
    <row r="61" spans="1:10" x14ac:dyDescent="0.35">
      <c r="A61" s="3" t="s">
        <v>89</v>
      </c>
      <c r="B61" s="4">
        <v>45876</v>
      </c>
      <c r="C61" s="3" t="s">
        <v>11</v>
      </c>
      <c r="D61" s="3" t="s">
        <v>16</v>
      </c>
      <c r="E61" s="3" t="s">
        <v>13</v>
      </c>
      <c r="F61" s="3" t="s">
        <v>34</v>
      </c>
      <c r="G61" s="3">
        <v>12</v>
      </c>
      <c r="H61" s="14">
        <v>988.37</v>
      </c>
      <c r="I61" s="14">
        <f t="shared" si="2"/>
        <v>11860.44</v>
      </c>
      <c r="J61" s="3" t="str">
        <f t="shared" si="3"/>
        <v>Aug-25</v>
      </c>
    </row>
    <row r="62" spans="1:10" x14ac:dyDescent="0.35">
      <c r="A62" s="3" t="s">
        <v>90</v>
      </c>
      <c r="B62" s="4">
        <v>45937</v>
      </c>
      <c r="C62" s="3" t="s">
        <v>11</v>
      </c>
      <c r="D62" s="3" t="s">
        <v>51</v>
      </c>
      <c r="E62" s="3" t="s">
        <v>21</v>
      </c>
      <c r="F62" s="3" t="s">
        <v>17</v>
      </c>
      <c r="G62" s="3">
        <v>9</v>
      </c>
      <c r="H62" s="14">
        <v>173.67</v>
      </c>
      <c r="I62" s="14">
        <f t="shared" si="2"/>
        <v>1563.03</v>
      </c>
      <c r="J62" s="3" t="str">
        <f t="shared" si="3"/>
        <v>Oct-25</v>
      </c>
    </row>
    <row r="63" spans="1:10" x14ac:dyDescent="0.35">
      <c r="A63" s="3" t="s">
        <v>91</v>
      </c>
      <c r="B63" s="4">
        <v>45723</v>
      </c>
      <c r="C63" s="3" t="s">
        <v>11</v>
      </c>
      <c r="D63" s="3" t="s">
        <v>32</v>
      </c>
      <c r="E63" s="3" t="s">
        <v>21</v>
      </c>
      <c r="F63" s="3" t="s">
        <v>27</v>
      </c>
      <c r="G63" s="3">
        <v>1</v>
      </c>
      <c r="H63" s="14">
        <v>88.39</v>
      </c>
      <c r="I63" s="14">
        <f t="shared" si="2"/>
        <v>88.39</v>
      </c>
      <c r="J63" s="3" t="str">
        <f t="shared" si="3"/>
        <v>Mar-25</v>
      </c>
    </row>
    <row r="64" spans="1:10" x14ac:dyDescent="0.35">
      <c r="A64" s="3" t="s">
        <v>92</v>
      </c>
      <c r="B64" s="4">
        <v>45765</v>
      </c>
      <c r="C64" s="3" t="s">
        <v>19</v>
      </c>
      <c r="D64" s="3" t="s">
        <v>16</v>
      </c>
      <c r="E64" s="3" t="s">
        <v>13</v>
      </c>
      <c r="F64" s="3" t="s">
        <v>27</v>
      </c>
      <c r="G64" s="3">
        <v>9</v>
      </c>
      <c r="H64" s="14">
        <v>986.49</v>
      </c>
      <c r="I64" s="14">
        <f t="shared" si="2"/>
        <v>8878.41</v>
      </c>
      <c r="J64" s="3" t="str">
        <f t="shared" si="3"/>
        <v>Apr-25</v>
      </c>
    </row>
    <row r="65" spans="1:10" x14ac:dyDescent="0.35">
      <c r="A65" s="3" t="s">
        <v>93</v>
      </c>
      <c r="B65" s="4">
        <v>45866</v>
      </c>
      <c r="C65" s="3" t="s">
        <v>19</v>
      </c>
      <c r="D65" s="3" t="s">
        <v>20</v>
      </c>
      <c r="E65" s="3" t="s">
        <v>21</v>
      </c>
      <c r="F65" s="3" t="s">
        <v>41</v>
      </c>
      <c r="G65" s="3">
        <v>3</v>
      </c>
      <c r="H65" s="14">
        <v>36.33</v>
      </c>
      <c r="I65" s="14">
        <f t="shared" si="2"/>
        <v>108.99</v>
      </c>
      <c r="J65" s="3" t="str">
        <f t="shared" si="3"/>
        <v>Jul-25</v>
      </c>
    </row>
    <row r="66" spans="1:10" x14ac:dyDescent="0.35">
      <c r="A66" s="3" t="s">
        <v>94</v>
      </c>
      <c r="B66" s="4">
        <v>45670</v>
      </c>
      <c r="C66" s="3" t="s">
        <v>19</v>
      </c>
      <c r="D66" s="3" t="s">
        <v>51</v>
      </c>
      <c r="E66" s="3" t="s">
        <v>21</v>
      </c>
      <c r="F66" s="3" t="s">
        <v>24</v>
      </c>
      <c r="G66" s="3">
        <v>11</v>
      </c>
      <c r="H66" s="14">
        <v>186.55</v>
      </c>
      <c r="I66" s="14">
        <f t="shared" ref="I66:I97" si="4">G66*H66</f>
        <v>2052.0500000000002</v>
      </c>
      <c r="J66" s="3" t="str">
        <f t="shared" ref="J66:J97" si="5">TEXT(B66,"mmm-yy")</f>
        <v>Jan-25</v>
      </c>
    </row>
    <row r="67" spans="1:10" x14ac:dyDescent="0.35">
      <c r="A67" s="3" t="s">
        <v>95</v>
      </c>
      <c r="B67" s="4">
        <v>45785</v>
      </c>
      <c r="C67" s="3" t="s">
        <v>30</v>
      </c>
      <c r="D67" s="3" t="s">
        <v>37</v>
      </c>
      <c r="E67" s="3" t="s">
        <v>21</v>
      </c>
      <c r="F67" s="3" t="s">
        <v>14</v>
      </c>
      <c r="G67" s="3">
        <v>2</v>
      </c>
      <c r="H67" s="14">
        <v>217.42</v>
      </c>
      <c r="I67" s="14">
        <f t="shared" si="4"/>
        <v>434.84</v>
      </c>
      <c r="J67" s="3" t="str">
        <f t="shared" si="5"/>
        <v>May-25</v>
      </c>
    </row>
    <row r="68" spans="1:10" x14ac:dyDescent="0.35">
      <c r="A68" s="3" t="s">
        <v>96</v>
      </c>
      <c r="B68" s="4">
        <v>45677</v>
      </c>
      <c r="C68" s="3" t="s">
        <v>23</v>
      </c>
      <c r="D68" s="3" t="s">
        <v>20</v>
      </c>
      <c r="E68" s="3" t="s">
        <v>21</v>
      </c>
      <c r="F68" s="3" t="s">
        <v>41</v>
      </c>
      <c r="G68" s="3">
        <v>8</v>
      </c>
      <c r="H68" s="14">
        <v>34.47</v>
      </c>
      <c r="I68" s="14">
        <f t="shared" si="4"/>
        <v>275.76</v>
      </c>
      <c r="J68" s="3" t="str">
        <f t="shared" si="5"/>
        <v>Jan-25</v>
      </c>
    </row>
    <row r="69" spans="1:10" x14ac:dyDescent="0.35">
      <c r="A69" s="3" t="s">
        <v>97</v>
      </c>
      <c r="B69" s="4">
        <v>45774</v>
      </c>
      <c r="C69" s="3" t="s">
        <v>19</v>
      </c>
      <c r="D69" s="3" t="s">
        <v>12</v>
      </c>
      <c r="E69" s="3" t="s">
        <v>13</v>
      </c>
      <c r="F69" s="3" t="s">
        <v>14</v>
      </c>
      <c r="G69" s="3">
        <v>4</v>
      </c>
      <c r="H69" s="14">
        <v>1187.82</v>
      </c>
      <c r="I69" s="14">
        <f t="shared" si="4"/>
        <v>4751.28</v>
      </c>
      <c r="J69" s="3" t="str">
        <f t="shared" si="5"/>
        <v>Apr-25</v>
      </c>
    </row>
    <row r="70" spans="1:10" x14ac:dyDescent="0.35">
      <c r="A70" s="3" t="s">
        <v>98</v>
      </c>
      <c r="B70" s="4">
        <v>45800</v>
      </c>
      <c r="C70" s="3" t="s">
        <v>11</v>
      </c>
      <c r="D70" s="3" t="s">
        <v>32</v>
      </c>
      <c r="E70" s="3" t="s">
        <v>21</v>
      </c>
      <c r="F70" s="3" t="s">
        <v>27</v>
      </c>
      <c r="G70" s="3">
        <v>11</v>
      </c>
      <c r="H70" s="14">
        <v>85.08</v>
      </c>
      <c r="I70" s="14">
        <f t="shared" si="4"/>
        <v>935.88</v>
      </c>
      <c r="J70" s="3" t="str">
        <f t="shared" si="5"/>
        <v>May-25</v>
      </c>
    </row>
    <row r="71" spans="1:10" x14ac:dyDescent="0.35">
      <c r="A71" s="3" t="s">
        <v>99</v>
      </c>
      <c r="B71" s="4">
        <v>46005</v>
      </c>
      <c r="C71" s="3" t="s">
        <v>30</v>
      </c>
      <c r="D71" s="3" t="s">
        <v>12</v>
      </c>
      <c r="E71" s="3" t="s">
        <v>13</v>
      </c>
      <c r="F71" s="3" t="s">
        <v>34</v>
      </c>
      <c r="G71" s="3">
        <v>5</v>
      </c>
      <c r="H71" s="14">
        <v>1161.43</v>
      </c>
      <c r="I71" s="14">
        <f t="shared" si="4"/>
        <v>5807.1500000000005</v>
      </c>
      <c r="J71" s="3" t="str">
        <f t="shared" si="5"/>
        <v>Dec-25</v>
      </c>
    </row>
    <row r="72" spans="1:10" x14ac:dyDescent="0.35">
      <c r="A72" s="3" t="s">
        <v>100</v>
      </c>
      <c r="B72" s="4">
        <v>45793</v>
      </c>
      <c r="C72" s="3" t="s">
        <v>11</v>
      </c>
      <c r="D72" s="3" t="s">
        <v>16</v>
      </c>
      <c r="E72" s="3" t="s">
        <v>13</v>
      </c>
      <c r="F72" s="3" t="s">
        <v>17</v>
      </c>
      <c r="G72" s="3">
        <v>7</v>
      </c>
      <c r="H72" s="14">
        <v>935.34</v>
      </c>
      <c r="I72" s="14">
        <f t="shared" si="4"/>
        <v>6547.38</v>
      </c>
      <c r="J72" s="3" t="str">
        <f t="shared" si="5"/>
        <v>May-25</v>
      </c>
    </row>
    <row r="73" spans="1:10" x14ac:dyDescent="0.35">
      <c r="A73" s="3" t="s">
        <v>101</v>
      </c>
      <c r="B73" s="4">
        <v>45818</v>
      </c>
      <c r="C73" s="3" t="s">
        <v>23</v>
      </c>
      <c r="D73" s="3" t="s">
        <v>16</v>
      </c>
      <c r="E73" s="3" t="s">
        <v>13</v>
      </c>
      <c r="F73" s="3" t="s">
        <v>24</v>
      </c>
      <c r="G73" s="3">
        <v>10</v>
      </c>
      <c r="H73" s="14">
        <v>920.56</v>
      </c>
      <c r="I73" s="14">
        <f t="shared" si="4"/>
        <v>9205.5999999999985</v>
      </c>
      <c r="J73" s="3" t="str">
        <f t="shared" si="5"/>
        <v>Jun-25</v>
      </c>
    </row>
    <row r="74" spans="1:10" x14ac:dyDescent="0.35">
      <c r="A74" s="3" t="s">
        <v>102</v>
      </c>
      <c r="B74" s="4">
        <v>45680</v>
      </c>
      <c r="C74" s="3" t="s">
        <v>23</v>
      </c>
      <c r="D74" s="3" t="s">
        <v>12</v>
      </c>
      <c r="E74" s="3" t="s">
        <v>13</v>
      </c>
      <c r="F74" s="3" t="s">
        <v>17</v>
      </c>
      <c r="G74" s="3">
        <v>9</v>
      </c>
      <c r="H74" s="14">
        <v>1222.42</v>
      </c>
      <c r="I74" s="14">
        <f t="shared" si="4"/>
        <v>11001.78</v>
      </c>
      <c r="J74" s="3" t="str">
        <f t="shared" si="5"/>
        <v>Jan-25</v>
      </c>
    </row>
    <row r="75" spans="1:10" x14ac:dyDescent="0.35">
      <c r="A75" s="3" t="s">
        <v>103</v>
      </c>
      <c r="B75" s="4">
        <v>46001</v>
      </c>
      <c r="C75" s="3" t="s">
        <v>19</v>
      </c>
      <c r="D75" s="3" t="s">
        <v>51</v>
      </c>
      <c r="E75" s="3" t="s">
        <v>21</v>
      </c>
      <c r="F75" s="3" t="s">
        <v>24</v>
      </c>
      <c r="G75" s="3">
        <v>2</v>
      </c>
      <c r="H75" s="14">
        <v>188.08</v>
      </c>
      <c r="I75" s="14">
        <f t="shared" si="4"/>
        <v>376.16</v>
      </c>
      <c r="J75" s="3" t="str">
        <f t="shared" si="5"/>
        <v>Dec-25</v>
      </c>
    </row>
    <row r="76" spans="1:10" x14ac:dyDescent="0.35">
      <c r="A76" s="3" t="s">
        <v>104</v>
      </c>
      <c r="B76" s="4">
        <v>45827</v>
      </c>
      <c r="C76" s="3" t="s">
        <v>30</v>
      </c>
      <c r="D76" s="3" t="s">
        <v>16</v>
      </c>
      <c r="E76" s="3" t="s">
        <v>13</v>
      </c>
      <c r="F76" s="3" t="s">
        <v>14</v>
      </c>
      <c r="G76" s="3">
        <v>5</v>
      </c>
      <c r="H76" s="14">
        <v>950.68</v>
      </c>
      <c r="I76" s="14">
        <f t="shared" si="4"/>
        <v>4753.3999999999996</v>
      </c>
      <c r="J76" s="3" t="str">
        <f t="shared" si="5"/>
        <v>Jun-25</v>
      </c>
    </row>
    <row r="77" spans="1:10" x14ac:dyDescent="0.35">
      <c r="A77" s="3" t="s">
        <v>105</v>
      </c>
      <c r="B77" s="4">
        <v>45999</v>
      </c>
      <c r="C77" s="3" t="s">
        <v>23</v>
      </c>
      <c r="D77" s="3" t="s">
        <v>51</v>
      </c>
      <c r="E77" s="3" t="s">
        <v>21</v>
      </c>
      <c r="F77" s="3" t="s">
        <v>24</v>
      </c>
      <c r="G77" s="3">
        <v>12</v>
      </c>
      <c r="H77" s="14">
        <v>176.32</v>
      </c>
      <c r="I77" s="14">
        <f t="shared" si="4"/>
        <v>2115.84</v>
      </c>
      <c r="J77" s="3" t="str">
        <f t="shared" si="5"/>
        <v>Dec-25</v>
      </c>
    </row>
    <row r="78" spans="1:10" x14ac:dyDescent="0.35">
      <c r="A78" s="3" t="s">
        <v>106</v>
      </c>
      <c r="B78" s="4">
        <v>45723</v>
      </c>
      <c r="C78" s="3" t="s">
        <v>19</v>
      </c>
      <c r="D78" s="3" t="s">
        <v>26</v>
      </c>
      <c r="E78" s="3" t="s">
        <v>21</v>
      </c>
      <c r="F78" s="3" t="s">
        <v>14</v>
      </c>
      <c r="G78" s="3">
        <v>7</v>
      </c>
      <c r="H78" s="14">
        <v>96.68</v>
      </c>
      <c r="I78" s="14">
        <f t="shared" si="4"/>
        <v>676.76</v>
      </c>
      <c r="J78" s="3" t="str">
        <f t="shared" si="5"/>
        <v>Mar-25</v>
      </c>
    </row>
    <row r="79" spans="1:10" x14ac:dyDescent="0.35">
      <c r="A79" s="3" t="s">
        <v>107</v>
      </c>
      <c r="B79" s="4">
        <v>45747</v>
      </c>
      <c r="C79" s="3" t="s">
        <v>30</v>
      </c>
      <c r="D79" s="3" t="s">
        <v>26</v>
      </c>
      <c r="E79" s="3" t="s">
        <v>21</v>
      </c>
      <c r="F79" s="3" t="s">
        <v>17</v>
      </c>
      <c r="G79" s="3">
        <v>1</v>
      </c>
      <c r="H79" s="14">
        <v>93.14</v>
      </c>
      <c r="I79" s="14">
        <f t="shared" si="4"/>
        <v>93.14</v>
      </c>
      <c r="J79" s="3" t="str">
        <f t="shared" si="5"/>
        <v>Mar-25</v>
      </c>
    </row>
    <row r="80" spans="1:10" x14ac:dyDescent="0.35">
      <c r="A80" s="3" t="s">
        <v>108</v>
      </c>
      <c r="B80" s="4">
        <v>45765</v>
      </c>
      <c r="C80" s="3" t="s">
        <v>23</v>
      </c>
      <c r="D80" s="3" t="s">
        <v>51</v>
      </c>
      <c r="E80" s="3" t="s">
        <v>21</v>
      </c>
      <c r="F80" s="3" t="s">
        <v>24</v>
      </c>
      <c r="G80" s="3">
        <v>8</v>
      </c>
      <c r="H80" s="14">
        <v>178.96</v>
      </c>
      <c r="I80" s="14">
        <f t="shared" si="4"/>
        <v>1431.68</v>
      </c>
      <c r="J80" s="3" t="str">
        <f t="shared" si="5"/>
        <v>Apr-25</v>
      </c>
    </row>
    <row r="81" spans="1:10" x14ac:dyDescent="0.35">
      <c r="A81" s="3" t="s">
        <v>109</v>
      </c>
      <c r="B81" s="4">
        <v>45767</v>
      </c>
      <c r="C81" s="3" t="s">
        <v>23</v>
      </c>
      <c r="D81" s="3" t="s">
        <v>37</v>
      </c>
      <c r="E81" s="3" t="s">
        <v>21</v>
      </c>
      <c r="F81" s="3" t="s">
        <v>14</v>
      </c>
      <c r="G81" s="3">
        <v>2</v>
      </c>
      <c r="H81" s="14">
        <v>215.24</v>
      </c>
      <c r="I81" s="14">
        <f t="shared" si="4"/>
        <v>430.48</v>
      </c>
      <c r="J81" s="3" t="str">
        <f t="shared" si="5"/>
        <v>Apr-25</v>
      </c>
    </row>
    <row r="82" spans="1:10" x14ac:dyDescent="0.35">
      <c r="A82" s="3" t="s">
        <v>110</v>
      </c>
      <c r="B82" s="4">
        <v>45997</v>
      </c>
      <c r="C82" s="3" t="s">
        <v>30</v>
      </c>
      <c r="D82" s="3" t="s">
        <v>16</v>
      </c>
      <c r="E82" s="3" t="s">
        <v>13</v>
      </c>
      <c r="F82" s="3" t="s">
        <v>41</v>
      </c>
      <c r="G82" s="3">
        <v>11</v>
      </c>
      <c r="H82" s="14">
        <v>931.99</v>
      </c>
      <c r="I82" s="14">
        <f t="shared" si="4"/>
        <v>10251.89</v>
      </c>
      <c r="J82" s="3" t="str">
        <f t="shared" si="5"/>
        <v>Dec-25</v>
      </c>
    </row>
    <row r="83" spans="1:10" x14ac:dyDescent="0.35">
      <c r="A83" s="3" t="s">
        <v>111</v>
      </c>
      <c r="B83" s="4">
        <v>45759</v>
      </c>
      <c r="C83" s="3" t="s">
        <v>19</v>
      </c>
      <c r="D83" s="3" t="s">
        <v>12</v>
      </c>
      <c r="E83" s="3" t="s">
        <v>13</v>
      </c>
      <c r="F83" s="3" t="s">
        <v>34</v>
      </c>
      <c r="G83" s="3">
        <v>4</v>
      </c>
      <c r="H83" s="14">
        <v>1258.07</v>
      </c>
      <c r="I83" s="14">
        <f t="shared" si="4"/>
        <v>5032.28</v>
      </c>
      <c r="J83" s="3" t="str">
        <f t="shared" si="5"/>
        <v>Apr-25</v>
      </c>
    </row>
    <row r="84" spans="1:10" x14ac:dyDescent="0.35">
      <c r="A84" s="3" t="s">
        <v>112</v>
      </c>
      <c r="B84" s="4">
        <v>45970</v>
      </c>
      <c r="C84" s="3" t="s">
        <v>11</v>
      </c>
      <c r="D84" s="3" t="s">
        <v>44</v>
      </c>
      <c r="E84" s="3" t="s">
        <v>21</v>
      </c>
      <c r="F84" s="3" t="s">
        <v>24</v>
      </c>
      <c r="G84" s="3">
        <v>11</v>
      </c>
      <c r="H84" s="14">
        <v>60.45</v>
      </c>
      <c r="I84" s="14">
        <f t="shared" si="4"/>
        <v>664.95</v>
      </c>
      <c r="J84" s="3" t="str">
        <f t="shared" si="5"/>
        <v>Nov-25</v>
      </c>
    </row>
    <row r="85" spans="1:10" x14ac:dyDescent="0.35">
      <c r="A85" s="3" t="s">
        <v>113</v>
      </c>
      <c r="B85" s="4">
        <v>46014</v>
      </c>
      <c r="C85" s="3" t="s">
        <v>23</v>
      </c>
      <c r="D85" s="3" t="s">
        <v>44</v>
      </c>
      <c r="E85" s="3" t="s">
        <v>21</v>
      </c>
      <c r="F85" s="3" t="s">
        <v>24</v>
      </c>
      <c r="G85" s="3">
        <v>4</v>
      </c>
      <c r="H85" s="14">
        <v>57.89</v>
      </c>
      <c r="I85" s="14">
        <f t="shared" si="4"/>
        <v>231.56</v>
      </c>
      <c r="J85" s="3" t="str">
        <f t="shared" si="5"/>
        <v>Dec-25</v>
      </c>
    </row>
    <row r="86" spans="1:10" x14ac:dyDescent="0.35">
      <c r="A86" s="3" t="s">
        <v>114</v>
      </c>
      <c r="B86" s="4">
        <v>46010</v>
      </c>
      <c r="C86" s="3" t="s">
        <v>11</v>
      </c>
      <c r="D86" s="3" t="s">
        <v>16</v>
      </c>
      <c r="E86" s="3" t="s">
        <v>13</v>
      </c>
      <c r="F86" s="3" t="s">
        <v>24</v>
      </c>
      <c r="G86" s="3">
        <v>4</v>
      </c>
      <c r="H86" s="14">
        <v>919.21</v>
      </c>
      <c r="I86" s="14">
        <f t="shared" si="4"/>
        <v>3676.84</v>
      </c>
      <c r="J86" s="3" t="str">
        <f t="shared" si="5"/>
        <v>Dec-25</v>
      </c>
    </row>
    <row r="87" spans="1:10" x14ac:dyDescent="0.35">
      <c r="A87" s="3" t="s">
        <v>115</v>
      </c>
      <c r="B87" s="4">
        <v>46014</v>
      </c>
      <c r="C87" s="3" t="s">
        <v>23</v>
      </c>
      <c r="D87" s="3" t="s">
        <v>12</v>
      </c>
      <c r="E87" s="3" t="s">
        <v>13</v>
      </c>
      <c r="F87" s="3" t="s">
        <v>17</v>
      </c>
      <c r="G87" s="3">
        <v>4</v>
      </c>
      <c r="H87" s="14">
        <v>1250.0999999999999</v>
      </c>
      <c r="I87" s="14">
        <f t="shared" si="4"/>
        <v>5000.3999999999996</v>
      </c>
      <c r="J87" s="3" t="str">
        <f t="shared" si="5"/>
        <v>Dec-25</v>
      </c>
    </row>
    <row r="88" spans="1:10" x14ac:dyDescent="0.35">
      <c r="A88" s="3" t="s">
        <v>116</v>
      </c>
      <c r="B88" s="4">
        <v>45720</v>
      </c>
      <c r="C88" s="3" t="s">
        <v>23</v>
      </c>
      <c r="D88" s="3" t="s">
        <v>37</v>
      </c>
      <c r="E88" s="3" t="s">
        <v>21</v>
      </c>
      <c r="F88" s="3" t="s">
        <v>24</v>
      </c>
      <c r="G88" s="3">
        <v>11</v>
      </c>
      <c r="H88" s="14">
        <v>220.68</v>
      </c>
      <c r="I88" s="14">
        <f t="shared" si="4"/>
        <v>2427.48</v>
      </c>
      <c r="J88" s="3" t="str">
        <f t="shared" si="5"/>
        <v>Mar-25</v>
      </c>
    </row>
    <row r="89" spans="1:10" x14ac:dyDescent="0.35">
      <c r="A89" s="3" t="s">
        <v>117</v>
      </c>
      <c r="B89" s="4">
        <v>45944</v>
      </c>
      <c r="C89" s="3" t="s">
        <v>30</v>
      </c>
      <c r="D89" s="3" t="s">
        <v>44</v>
      </c>
      <c r="E89" s="3" t="s">
        <v>21</v>
      </c>
      <c r="F89" s="3" t="s">
        <v>17</v>
      </c>
      <c r="G89" s="3">
        <v>12</v>
      </c>
      <c r="H89" s="14">
        <v>62.35</v>
      </c>
      <c r="I89" s="14">
        <f t="shared" si="4"/>
        <v>748.2</v>
      </c>
      <c r="J89" s="3" t="str">
        <f t="shared" si="5"/>
        <v>Oct-25</v>
      </c>
    </row>
    <row r="90" spans="1:10" x14ac:dyDescent="0.35">
      <c r="A90" s="3" t="s">
        <v>118</v>
      </c>
      <c r="B90" s="4">
        <v>45876</v>
      </c>
      <c r="C90" s="3" t="s">
        <v>23</v>
      </c>
      <c r="D90" s="3" t="s">
        <v>37</v>
      </c>
      <c r="E90" s="3" t="s">
        <v>21</v>
      </c>
      <c r="F90" s="3" t="s">
        <v>14</v>
      </c>
      <c r="G90" s="3">
        <v>8</v>
      </c>
      <c r="H90" s="14">
        <v>218.9</v>
      </c>
      <c r="I90" s="14">
        <f t="shared" si="4"/>
        <v>1751.2</v>
      </c>
      <c r="J90" s="3" t="str">
        <f t="shared" si="5"/>
        <v>Aug-25</v>
      </c>
    </row>
    <row r="91" spans="1:10" x14ac:dyDescent="0.35">
      <c r="A91" s="3" t="s">
        <v>119</v>
      </c>
      <c r="B91" s="4">
        <v>45784</v>
      </c>
      <c r="C91" s="3" t="s">
        <v>30</v>
      </c>
      <c r="D91" s="3" t="s">
        <v>44</v>
      </c>
      <c r="E91" s="3" t="s">
        <v>21</v>
      </c>
      <c r="F91" s="3" t="s">
        <v>14</v>
      </c>
      <c r="G91" s="3">
        <v>4</v>
      </c>
      <c r="H91" s="14">
        <v>58.65</v>
      </c>
      <c r="I91" s="14">
        <f t="shared" si="4"/>
        <v>234.6</v>
      </c>
      <c r="J91" s="3" t="str">
        <f t="shared" si="5"/>
        <v>May-25</v>
      </c>
    </row>
    <row r="92" spans="1:10" x14ac:dyDescent="0.35">
      <c r="A92" s="3" t="s">
        <v>120</v>
      </c>
      <c r="B92" s="4">
        <v>45697</v>
      </c>
      <c r="C92" s="3" t="s">
        <v>30</v>
      </c>
      <c r="D92" s="3" t="s">
        <v>20</v>
      </c>
      <c r="E92" s="3" t="s">
        <v>21</v>
      </c>
      <c r="F92" s="3" t="s">
        <v>27</v>
      </c>
      <c r="G92" s="3">
        <v>6</v>
      </c>
      <c r="H92" s="14">
        <v>34.369999999999997</v>
      </c>
      <c r="I92" s="14">
        <f t="shared" si="4"/>
        <v>206.21999999999997</v>
      </c>
      <c r="J92" s="3" t="str">
        <f t="shared" si="5"/>
        <v>Feb-25</v>
      </c>
    </row>
    <row r="93" spans="1:10" x14ac:dyDescent="0.35">
      <c r="A93" s="3" t="s">
        <v>121</v>
      </c>
      <c r="B93" s="4">
        <v>45934</v>
      </c>
      <c r="C93" s="3" t="s">
        <v>11</v>
      </c>
      <c r="D93" s="3" t="s">
        <v>37</v>
      </c>
      <c r="E93" s="3" t="s">
        <v>21</v>
      </c>
      <c r="F93" s="3" t="s">
        <v>41</v>
      </c>
      <c r="G93" s="3">
        <v>4</v>
      </c>
      <c r="H93" s="14">
        <v>217.43</v>
      </c>
      <c r="I93" s="14">
        <f t="shared" si="4"/>
        <v>869.72</v>
      </c>
      <c r="J93" s="3" t="str">
        <f t="shared" si="5"/>
        <v>Oct-25</v>
      </c>
    </row>
    <row r="94" spans="1:10" x14ac:dyDescent="0.35">
      <c r="A94" s="3" t="s">
        <v>122</v>
      </c>
      <c r="B94" s="4">
        <v>45736</v>
      </c>
      <c r="C94" s="3" t="s">
        <v>19</v>
      </c>
      <c r="D94" s="3" t="s">
        <v>16</v>
      </c>
      <c r="E94" s="3" t="s">
        <v>13</v>
      </c>
      <c r="F94" s="3" t="s">
        <v>24</v>
      </c>
      <c r="G94" s="3">
        <v>7</v>
      </c>
      <c r="H94" s="14">
        <v>933.93</v>
      </c>
      <c r="I94" s="14">
        <f t="shared" si="4"/>
        <v>6537.5099999999993</v>
      </c>
      <c r="J94" s="3" t="str">
        <f t="shared" si="5"/>
        <v>Mar-25</v>
      </c>
    </row>
    <row r="95" spans="1:10" x14ac:dyDescent="0.35">
      <c r="A95" s="3" t="s">
        <v>123</v>
      </c>
      <c r="B95" s="4">
        <v>45896</v>
      </c>
      <c r="C95" s="3" t="s">
        <v>23</v>
      </c>
      <c r="D95" s="3" t="s">
        <v>12</v>
      </c>
      <c r="E95" s="3" t="s">
        <v>13</v>
      </c>
      <c r="F95" s="3" t="s">
        <v>41</v>
      </c>
      <c r="G95" s="3">
        <v>7</v>
      </c>
      <c r="H95" s="14">
        <v>1186.74</v>
      </c>
      <c r="I95" s="14">
        <f t="shared" si="4"/>
        <v>8307.18</v>
      </c>
      <c r="J95" s="3" t="str">
        <f t="shared" si="5"/>
        <v>Aug-25</v>
      </c>
    </row>
    <row r="96" spans="1:10" x14ac:dyDescent="0.35">
      <c r="A96" s="3" t="s">
        <v>124</v>
      </c>
      <c r="B96" s="4">
        <v>45957</v>
      </c>
      <c r="C96" s="3" t="s">
        <v>11</v>
      </c>
      <c r="D96" s="3" t="s">
        <v>26</v>
      </c>
      <c r="E96" s="3" t="s">
        <v>21</v>
      </c>
      <c r="F96" s="3" t="s">
        <v>24</v>
      </c>
      <c r="G96" s="3">
        <v>1</v>
      </c>
      <c r="H96" s="14">
        <v>99.21</v>
      </c>
      <c r="I96" s="14">
        <f t="shared" si="4"/>
        <v>99.21</v>
      </c>
      <c r="J96" s="3" t="str">
        <f t="shared" si="5"/>
        <v>Oct-25</v>
      </c>
    </row>
    <row r="97" spans="1:10" x14ac:dyDescent="0.35">
      <c r="A97" s="3" t="s">
        <v>125</v>
      </c>
      <c r="B97" s="4">
        <v>45810</v>
      </c>
      <c r="C97" s="3" t="s">
        <v>23</v>
      </c>
      <c r="D97" s="3" t="s">
        <v>26</v>
      </c>
      <c r="E97" s="3" t="s">
        <v>21</v>
      </c>
      <c r="F97" s="3" t="s">
        <v>17</v>
      </c>
      <c r="G97" s="3">
        <v>12</v>
      </c>
      <c r="H97" s="14">
        <v>97.23</v>
      </c>
      <c r="I97" s="14">
        <f t="shared" si="4"/>
        <v>1166.76</v>
      </c>
      <c r="J97" s="3" t="str">
        <f t="shared" si="5"/>
        <v>Jun-25</v>
      </c>
    </row>
    <row r="98" spans="1:10" x14ac:dyDescent="0.35">
      <c r="A98" s="3" t="s">
        <v>126</v>
      </c>
      <c r="B98" s="4">
        <v>45966</v>
      </c>
      <c r="C98" s="3" t="s">
        <v>19</v>
      </c>
      <c r="D98" s="3" t="s">
        <v>44</v>
      </c>
      <c r="E98" s="3" t="s">
        <v>21</v>
      </c>
      <c r="F98" s="3" t="s">
        <v>41</v>
      </c>
      <c r="G98" s="3">
        <v>5</v>
      </c>
      <c r="H98" s="14">
        <v>59.62</v>
      </c>
      <c r="I98" s="14">
        <f t="shared" ref="I98:I129" si="6">G98*H98</f>
        <v>298.09999999999997</v>
      </c>
      <c r="J98" s="3" t="str">
        <f t="shared" ref="J98:J129" si="7">TEXT(B98,"mmm-yy")</f>
        <v>Nov-25</v>
      </c>
    </row>
    <row r="99" spans="1:10" x14ac:dyDescent="0.35">
      <c r="A99" s="3" t="s">
        <v>127</v>
      </c>
      <c r="B99" s="4">
        <v>45672</v>
      </c>
      <c r="C99" s="3" t="s">
        <v>23</v>
      </c>
      <c r="D99" s="3" t="s">
        <v>51</v>
      </c>
      <c r="E99" s="3" t="s">
        <v>21</v>
      </c>
      <c r="F99" s="3" t="s">
        <v>14</v>
      </c>
      <c r="G99" s="3">
        <v>11</v>
      </c>
      <c r="H99" s="14">
        <v>185.37</v>
      </c>
      <c r="I99" s="14">
        <f t="shared" si="6"/>
        <v>2039.0700000000002</v>
      </c>
      <c r="J99" s="3" t="str">
        <f t="shared" si="7"/>
        <v>Jan-25</v>
      </c>
    </row>
    <row r="100" spans="1:10" x14ac:dyDescent="0.35">
      <c r="A100" s="3" t="s">
        <v>128</v>
      </c>
      <c r="B100" s="4">
        <v>45742</v>
      </c>
      <c r="C100" s="3" t="s">
        <v>23</v>
      </c>
      <c r="D100" s="3" t="s">
        <v>37</v>
      </c>
      <c r="E100" s="3" t="s">
        <v>21</v>
      </c>
      <c r="F100" s="3" t="s">
        <v>17</v>
      </c>
      <c r="G100" s="3">
        <v>9</v>
      </c>
      <c r="H100" s="14">
        <v>209.59</v>
      </c>
      <c r="I100" s="14">
        <f t="shared" si="6"/>
        <v>1886.31</v>
      </c>
      <c r="J100" s="3" t="str">
        <f t="shared" si="7"/>
        <v>Mar-25</v>
      </c>
    </row>
    <row r="101" spans="1:10" x14ac:dyDescent="0.35">
      <c r="A101" s="3" t="s">
        <v>129</v>
      </c>
      <c r="B101" s="4">
        <v>45859</v>
      </c>
      <c r="C101" s="3" t="s">
        <v>11</v>
      </c>
      <c r="D101" s="3" t="s">
        <v>16</v>
      </c>
      <c r="E101" s="3" t="s">
        <v>13</v>
      </c>
      <c r="F101" s="3" t="s">
        <v>14</v>
      </c>
      <c r="G101" s="3">
        <v>7</v>
      </c>
      <c r="H101" s="14">
        <v>915.39</v>
      </c>
      <c r="I101" s="14">
        <f t="shared" si="6"/>
        <v>6407.73</v>
      </c>
      <c r="J101" s="3" t="str">
        <f t="shared" si="7"/>
        <v>Jul-25</v>
      </c>
    </row>
    <row r="102" spans="1:10" x14ac:dyDescent="0.35">
      <c r="A102" s="3" t="s">
        <v>130</v>
      </c>
      <c r="B102" s="4">
        <v>45894</v>
      </c>
      <c r="C102" s="3" t="s">
        <v>19</v>
      </c>
      <c r="D102" s="3" t="s">
        <v>12</v>
      </c>
      <c r="E102" s="3" t="s">
        <v>13</v>
      </c>
      <c r="F102" s="3" t="s">
        <v>27</v>
      </c>
      <c r="G102" s="3">
        <v>7</v>
      </c>
      <c r="H102" s="14">
        <v>1179.28</v>
      </c>
      <c r="I102" s="14">
        <f t="shared" si="6"/>
        <v>8254.9599999999991</v>
      </c>
      <c r="J102" s="3" t="str">
        <f t="shared" si="7"/>
        <v>Aug-25</v>
      </c>
    </row>
    <row r="103" spans="1:10" x14ac:dyDescent="0.35">
      <c r="A103" s="3" t="s">
        <v>131</v>
      </c>
      <c r="B103" s="4">
        <v>45890</v>
      </c>
      <c r="C103" s="3" t="s">
        <v>30</v>
      </c>
      <c r="D103" s="3" t="s">
        <v>51</v>
      </c>
      <c r="E103" s="3" t="s">
        <v>21</v>
      </c>
      <c r="F103" s="3" t="s">
        <v>24</v>
      </c>
      <c r="G103" s="3">
        <v>5</v>
      </c>
      <c r="H103" s="14">
        <v>184.54</v>
      </c>
      <c r="I103" s="14">
        <f t="shared" si="6"/>
        <v>922.69999999999993</v>
      </c>
      <c r="J103" s="3" t="str">
        <f t="shared" si="7"/>
        <v>Aug-25</v>
      </c>
    </row>
    <row r="104" spans="1:10" x14ac:dyDescent="0.35">
      <c r="A104" s="3" t="s">
        <v>132</v>
      </c>
      <c r="B104" s="4">
        <v>45873</v>
      </c>
      <c r="C104" s="3" t="s">
        <v>30</v>
      </c>
      <c r="D104" s="3" t="s">
        <v>16</v>
      </c>
      <c r="E104" s="3" t="s">
        <v>13</v>
      </c>
      <c r="F104" s="3" t="s">
        <v>24</v>
      </c>
      <c r="G104" s="3">
        <v>1</v>
      </c>
      <c r="H104" s="14">
        <v>973.66</v>
      </c>
      <c r="I104" s="14">
        <f t="shared" si="6"/>
        <v>973.66</v>
      </c>
      <c r="J104" s="3" t="str">
        <f t="shared" si="7"/>
        <v>Aug-25</v>
      </c>
    </row>
    <row r="105" spans="1:10" x14ac:dyDescent="0.35">
      <c r="A105" s="3" t="s">
        <v>133</v>
      </c>
      <c r="B105" s="4">
        <v>45684</v>
      </c>
      <c r="C105" s="3" t="s">
        <v>30</v>
      </c>
      <c r="D105" s="3" t="s">
        <v>20</v>
      </c>
      <c r="E105" s="3" t="s">
        <v>21</v>
      </c>
      <c r="F105" s="3" t="s">
        <v>14</v>
      </c>
      <c r="G105" s="3">
        <v>2</v>
      </c>
      <c r="H105" s="14">
        <v>35.979999999999997</v>
      </c>
      <c r="I105" s="14">
        <f t="shared" si="6"/>
        <v>71.959999999999994</v>
      </c>
      <c r="J105" s="3" t="str">
        <f t="shared" si="7"/>
        <v>Jan-25</v>
      </c>
    </row>
    <row r="106" spans="1:10" x14ac:dyDescent="0.35">
      <c r="A106" s="3" t="s">
        <v>134</v>
      </c>
      <c r="B106" s="4">
        <v>45991</v>
      </c>
      <c r="C106" s="3" t="s">
        <v>11</v>
      </c>
      <c r="D106" s="3" t="s">
        <v>12</v>
      </c>
      <c r="E106" s="3" t="s">
        <v>13</v>
      </c>
      <c r="F106" s="3" t="s">
        <v>41</v>
      </c>
      <c r="G106" s="3">
        <v>4</v>
      </c>
      <c r="H106" s="14">
        <v>1240.71</v>
      </c>
      <c r="I106" s="14">
        <f t="shared" si="6"/>
        <v>4962.84</v>
      </c>
      <c r="J106" s="3" t="str">
        <f t="shared" si="7"/>
        <v>Nov-25</v>
      </c>
    </row>
    <row r="107" spans="1:10" x14ac:dyDescent="0.35">
      <c r="A107" s="3" t="s">
        <v>135</v>
      </c>
      <c r="B107" s="4">
        <v>45976</v>
      </c>
      <c r="C107" s="3" t="s">
        <v>19</v>
      </c>
      <c r="D107" s="3" t="s">
        <v>20</v>
      </c>
      <c r="E107" s="3" t="s">
        <v>21</v>
      </c>
      <c r="F107" s="3" t="s">
        <v>41</v>
      </c>
      <c r="G107" s="3">
        <v>8</v>
      </c>
      <c r="H107" s="14">
        <v>35.590000000000003</v>
      </c>
      <c r="I107" s="14">
        <f t="shared" si="6"/>
        <v>284.72000000000003</v>
      </c>
      <c r="J107" s="3" t="str">
        <f t="shared" si="7"/>
        <v>Nov-25</v>
      </c>
    </row>
    <row r="108" spans="1:10" x14ac:dyDescent="0.35">
      <c r="A108" s="3" t="s">
        <v>136</v>
      </c>
      <c r="B108" s="4">
        <v>45946</v>
      </c>
      <c r="C108" s="3" t="s">
        <v>19</v>
      </c>
      <c r="D108" s="3" t="s">
        <v>44</v>
      </c>
      <c r="E108" s="3" t="s">
        <v>21</v>
      </c>
      <c r="F108" s="3" t="s">
        <v>14</v>
      </c>
      <c r="G108" s="3">
        <v>5</v>
      </c>
      <c r="H108" s="14">
        <v>61.6</v>
      </c>
      <c r="I108" s="14">
        <f t="shared" si="6"/>
        <v>308</v>
      </c>
      <c r="J108" s="3" t="str">
        <f t="shared" si="7"/>
        <v>Oct-25</v>
      </c>
    </row>
    <row r="109" spans="1:10" x14ac:dyDescent="0.35">
      <c r="A109" s="3" t="s">
        <v>137</v>
      </c>
      <c r="B109" s="4">
        <v>45743</v>
      </c>
      <c r="C109" s="3" t="s">
        <v>11</v>
      </c>
      <c r="D109" s="3" t="s">
        <v>37</v>
      </c>
      <c r="E109" s="3" t="s">
        <v>21</v>
      </c>
      <c r="F109" s="3" t="s">
        <v>27</v>
      </c>
      <c r="G109" s="3">
        <v>2</v>
      </c>
      <c r="H109" s="14">
        <v>221.73</v>
      </c>
      <c r="I109" s="14">
        <f t="shared" si="6"/>
        <v>443.46</v>
      </c>
      <c r="J109" s="3" t="str">
        <f t="shared" si="7"/>
        <v>Mar-25</v>
      </c>
    </row>
    <row r="110" spans="1:10" x14ac:dyDescent="0.35">
      <c r="A110" s="3" t="s">
        <v>138</v>
      </c>
      <c r="B110" s="4">
        <v>45817</v>
      </c>
      <c r="C110" s="3" t="s">
        <v>23</v>
      </c>
      <c r="D110" s="3" t="s">
        <v>26</v>
      </c>
      <c r="E110" s="3" t="s">
        <v>21</v>
      </c>
      <c r="F110" s="3" t="s">
        <v>14</v>
      </c>
      <c r="G110" s="3">
        <v>4</v>
      </c>
      <c r="H110" s="14">
        <v>90.97</v>
      </c>
      <c r="I110" s="14">
        <f t="shared" si="6"/>
        <v>363.88</v>
      </c>
      <c r="J110" s="3" t="str">
        <f t="shared" si="7"/>
        <v>Jun-25</v>
      </c>
    </row>
    <row r="111" spans="1:10" x14ac:dyDescent="0.35">
      <c r="A111" s="3" t="s">
        <v>139</v>
      </c>
      <c r="B111" s="4">
        <v>46011</v>
      </c>
      <c r="C111" s="3" t="s">
        <v>19</v>
      </c>
      <c r="D111" s="3" t="s">
        <v>16</v>
      </c>
      <c r="E111" s="3" t="s">
        <v>13</v>
      </c>
      <c r="F111" s="3" t="s">
        <v>14</v>
      </c>
      <c r="G111" s="3">
        <v>5</v>
      </c>
      <c r="H111" s="14">
        <v>983.28</v>
      </c>
      <c r="I111" s="14">
        <f t="shared" si="6"/>
        <v>4916.3999999999996</v>
      </c>
      <c r="J111" s="3" t="str">
        <f t="shared" si="7"/>
        <v>Dec-25</v>
      </c>
    </row>
    <row r="112" spans="1:10" x14ac:dyDescent="0.35">
      <c r="A112" s="3" t="s">
        <v>140</v>
      </c>
      <c r="B112" s="4">
        <v>45965</v>
      </c>
      <c r="C112" s="3" t="s">
        <v>11</v>
      </c>
      <c r="D112" s="3" t="s">
        <v>12</v>
      </c>
      <c r="E112" s="3" t="s">
        <v>13</v>
      </c>
      <c r="F112" s="3" t="s">
        <v>27</v>
      </c>
      <c r="G112" s="3">
        <v>9</v>
      </c>
      <c r="H112" s="14">
        <v>1191.4100000000001</v>
      </c>
      <c r="I112" s="14">
        <f t="shared" si="6"/>
        <v>10722.69</v>
      </c>
      <c r="J112" s="3" t="str">
        <f t="shared" si="7"/>
        <v>Nov-25</v>
      </c>
    </row>
    <row r="113" spans="1:10" x14ac:dyDescent="0.35">
      <c r="A113" s="3" t="s">
        <v>141</v>
      </c>
      <c r="B113" s="4">
        <v>45847</v>
      </c>
      <c r="C113" s="3" t="s">
        <v>11</v>
      </c>
      <c r="D113" s="3" t="s">
        <v>51</v>
      </c>
      <c r="E113" s="3" t="s">
        <v>21</v>
      </c>
      <c r="F113" s="3" t="s">
        <v>34</v>
      </c>
      <c r="G113" s="3">
        <v>7</v>
      </c>
      <c r="H113" s="14">
        <v>185.8</v>
      </c>
      <c r="I113" s="14">
        <f t="shared" si="6"/>
        <v>1300.6000000000001</v>
      </c>
      <c r="J113" s="3" t="str">
        <f t="shared" si="7"/>
        <v>Jul-25</v>
      </c>
    </row>
    <row r="114" spans="1:10" x14ac:dyDescent="0.35">
      <c r="A114" s="3" t="s">
        <v>142</v>
      </c>
      <c r="B114" s="4">
        <v>45712</v>
      </c>
      <c r="C114" s="3" t="s">
        <v>23</v>
      </c>
      <c r="D114" s="3" t="s">
        <v>51</v>
      </c>
      <c r="E114" s="3" t="s">
        <v>21</v>
      </c>
      <c r="F114" s="3" t="s">
        <v>14</v>
      </c>
      <c r="G114" s="3">
        <v>8</v>
      </c>
      <c r="H114" s="14">
        <v>183.73</v>
      </c>
      <c r="I114" s="14">
        <f t="shared" si="6"/>
        <v>1469.84</v>
      </c>
      <c r="J114" s="3" t="str">
        <f t="shared" si="7"/>
        <v>Feb-25</v>
      </c>
    </row>
    <row r="115" spans="1:10" x14ac:dyDescent="0.35">
      <c r="A115" s="3" t="s">
        <v>143</v>
      </c>
      <c r="B115" s="4">
        <v>45880</v>
      </c>
      <c r="C115" s="3" t="s">
        <v>19</v>
      </c>
      <c r="D115" s="3" t="s">
        <v>32</v>
      </c>
      <c r="E115" s="3" t="s">
        <v>21</v>
      </c>
      <c r="F115" s="3" t="s">
        <v>17</v>
      </c>
      <c r="G115" s="3">
        <v>9</v>
      </c>
      <c r="H115" s="14">
        <v>87.33</v>
      </c>
      <c r="I115" s="14">
        <f t="shared" si="6"/>
        <v>785.97</v>
      </c>
      <c r="J115" s="3" t="str">
        <f t="shared" si="7"/>
        <v>Aug-25</v>
      </c>
    </row>
    <row r="116" spans="1:10" x14ac:dyDescent="0.35">
      <c r="A116" s="3" t="s">
        <v>144</v>
      </c>
      <c r="B116" s="4">
        <v>45896</v>
      </c>
      <c r="C116" s="3" t="s">
        <v>23</v>
      </c>
      <c r="D116" s="3" t="s">
        <v>32</v>
      </c>
      <c r="E116" s="3" t="s">
        <v>21</v>
      </c>
      <c r="F116" s="3" t="s">
        <v>27</v>
      </c>
      <c r="G116" s="3">
        <v>4</v>
      </c>
      <c r="H116" s="14">
        <v>87.81</v>
      </c>
      <c r="I116" s="14">
        <f t="shared" si="6"/>
        <v>351.24</v>
      </c>
      <c r="J116" s="3" t="str">
        <f t="shared" si="7"/>
        <v>Aug-25</v>
      </c>
    </row>
    <row r="117" spans="1:10" x14ac:dyDescent="0.35">
      <c r="A117" s="3" t="s">
        <v>145</v>
      </c>
      <c r="B117" s="4">
        <v>45702</v>
      </c>
      <c r="C117" s="3" t="s">
        <v>30</v>
      </c>
      <c r="D117" s="3" t="s">
        <v>44</v>
      </c>
      <c r="E117" s="3" t="s">
        <v>21</v>
      </c>
      <c r="F117" s="3" t="s">
        <v>41</v>
      </c>
      <c r="G117" s="3">
        <v>8</v>
      </c>
      <c r="H117" s="14">
        <v>60.42</v>
      </c>
      <c r="I117" s="14">
        <f t="shared" si="6"/>
        <v>483.36</v>
      </c>
      <c r="J117" s="3" t="str">
        <f t="shared" si="7"/>
        <v>Feb-25</v>
      </c>
    </row>
    <row r="118" spans="1:10" x14ac:dyDescent="0.35">
      <c r="A118" s="3" t="s">
        <v>146</v>
      </c>
      <c r="B118" s="4">
        <v>46000</v>
      </c>
      <c r="C118" s="3" t="s">
        <v>23</v>
      </c>
      <c r="D118" s="3" t="s">
        <v>51</v>
      </c>
      <c r="E118" s="3" t="s">
        <v>21</v>
      </c>
      <c r="F118" s="3" t="s">
        <v>34</v>
      </c>
      <c r="G118" s="3">
        <v>8</v>
      </c>
      <c r="H118" s="14">
        <v>186.32</v>
      </c>
      <c r="I118" s="14">
        <f t="shared" si="6"/>
        <v>1490.56</v>
      </c>
      <c r="J118" s="3" t="str">
        <f t="shared" si="7"/>
        <v>Dec-25</v>
      </c>
    </row>
    <row r="119" spans="1:10" x14ac:dyDescent="0.35">
      <c r="A119" s="3" t="s">
        <v>147</v>
      </c>
      <c r="B119" s="4">
        <v>45751</v>
      </c>
      <c r="C119" s="3" t="s">
        <v>23</v>
      </c>
      <c r="D119" s="3" t="s">
        <v>20</v>
      </c>
      <c r="E119" s="3" t="s">
        <v>21</v>
      </c>
      <c r="F119" s="3" t="s">
        <v>27</v>
      </c>
      <c r="G119" s="3">
        <v>5</v>
      </c>
      <c r="H119" s="14">
        <v>34.44</v>
      </c>
      <c r="I119" s="14">
        <f t="shared" si="6"/>
        <v>172.2</v>
      </c>
      <c r="J119" s="3" t="str">
        <f t="shared" si="7"/>
        <v>Apr-25</v>
      </c>
    </row>
    <row r="120" spans="1:10" x14ac:dyDescent="0.35">
      <c r="A120" s="3" t="s">
        <v>148</v>
      </c>
      <c r="B120" s="4">
        <v>45963</v>
      </c>
      <c r="C120" s="3" t="s">
        <v>30</v>
      </c>
      <c r="D120" s="3" t="s">
        <v>12</v>
      </c>
      <c r="E120" s="3" t="s">
        <v>13</v>
      </c>
      <c r="F120" s="3" t="s">
        <v>17</v>
      </c>
      <c r="G120" s="3">
        <v>4</v>
      </c>
      <c r="H120" s="14">
        <v>1150.27</v>
      </c>
      <c r="I120" s="14">
        <f t="shared" si="6"/>
        <v>4601.08</v>
      </c>
      <c r="J120" s="3" t="str">
        <f t="shared" si="7"/>
        <v>Nov-25</v>
      </c>
    </row>
    <row r="121" spans="1:10" x14ac:dyDescent="0.35">
      <c r="A121" s="3" t="s">
        <v>149</v>
      </c>
      <c r="B121" s="4">
        <v>45866</v>
      </c>
      <c r="C121" s="3" t="s">
        <v>23</v>
      </c>
      <c r="D121" s="3" t="s">
        <v>20</v>
      </c>
      <c r="E121" s="3" t="s">
        <v>21</v>
      </c>
      <c r="F121" s="3" t="s">
        <v>14</v>
      </c>
      <c r="G121" s="3">
        <v>8</v>
      </c>
      <c r="H121" s="14">
        <v>35.51</v>
      </c>
      <c r="I121" s="14">
        <f t="shared" si="6"/>
        <v>284.08</v>
      </c>
      <c r="J121" s="3" t="str">
        <f t="shared" si="7"/>
        <v>Jul-25</v>
      </c>
    </row>
    <row r="122" spans="1:10" x14ac:dyDescent="0.35">
      <c r="A122" s="3" t="s">
        <v>150</v>
      </c>
      <c r="B122" s="4">
        <v>45909</v>
      </c>
      <c r="C122" s="3" t="s">
        <v>23</v>
      </c>
      <c r="D122" s="3" t="s">
        <v>12</v>
      </c>
      <c r="E122" s="3" t="s">
        <v>13</v>
      </c>
      <c r="F122" s="3" t="s">
        <v>34</v>
      </c>
      <c r="G122" s="3">
        <v>5</v>
      </c>
      <c r="H122" s="14">
        <v>1166.5899999999999</v>
      </c>
      <c r="I122" s="14">
        <f t="shared" si="6"/>
        <v>5832.95</v>
      </c>
      <c r="J122" s="3" t="str">
        <f t="shared" si="7"/>
        <v>Sep-25</v>
      </c>
    </row>
    <row r="123" spans="1:10" x14ac:dyDescent="0.35">
      <c r="A123" s="3" t="s">
        <v>151</v>
      </c>
      <c r="B123" s="4">
        <v>46012</v>
      </c>
      <c r="C123" s="3" t="s">
        <v>19</v>
      </c>
      <c r="D123" s="3" t="s">
        <v>32</v>
      </c>
      <c r="E123" s="3" t="s">
        <v>21</v>
      </c>
      <c r="F123" s="3" t="s">
        <v>14</v>
      </c>
      <c r="G123" s="3">
        <v>10</v>
      </c>
      <c r="H123" s="14">
        <v>83.89</v>
      </c>
      <c r="I123" s="14">
        <f t="shared" si="6"/>
        <v>838.9</v>
      </c>
      <c r="J123" s="3" t="str">
        <f t="shared" si="7"/>
        <v>Dec-25</v>
      </c>
    </row>
    <row r="124" spans="1:10" x14ac:dyDescent="0.35">
      <c r="A124" s="3" t="s">
        <v>152</v>
      </c>
      <c r="B124" s="4">
        <v>45941</v>
      </c>
      <c r="C124" s="3" t="s">
        <v>30</v>
      </c>
      <c r="D124" s="3" t="s">
        <v>26</v>
      </c>
      <c r="E124" s="3" t="s">
        <v>21</v>
      </c>
      <c r="F124" s="3" t="s">
        <v>14</v>
      </c>
      <c r="G124" s="3">
        <v>9</v>
      </c>
      <c r="H124" s="14">
        <v>93.39</v>
      </c>
      <c r="I124" s="14">
        <f t="shared" si="6"/>
        <v>840.51</v>
      </c>
      <c r="J124" s="3" t="str">
        <f t="shared" si="7"/>
        <v>Oct-25</v>
      </c>
    </row>
    <row r="125" spans="1:10" x14ac:dyDescent="0.35">
      <c r="A125" s="3" t="s">
        <v>153</v>
      </c>
      <c r="B125" s="4">
        <v>46017</v>
      </c>
      <c r="C125" s="3" t="s">
        <v>23</v>
      </c>
      <c r="D125" s="3" t="s">
        <v>32</v>
      </c>
      <c r="E125" s="3" t="s">
        <v>21</v>
      </c>
      <c r="F125" s="3" t="s">
        <v>27</v>
      </c>
      <c r="G125" s="3">
        <v>5</v>
      </c>
      <c r="H125" s="14">
        <v>82.71</v>
      </c>
      <c r="I125" s="14">
        <f t="shared" si="6"/>
        <v>413.54999999999995</v>
      </c>
      <c r="J125" s="3" t="str">
        <f t="shared" si="7"/>
        <v>Dec-25</v>
      </c>
    </row>
    <row r="126" spans="1:10" x14ac:dyDescent="0.35">
      <c r="A126" s="3" t="s">
        <v>154</v>
      </c>
      <c r="B126" s="4">
        <v>45756</v>
      </c>
      <c r="C126" s="3" t="s">
        <v>30</v>
      </c>
      <c r="D126" s="3" t="s">
        <v>16</v>
      </c>
      <c r="E126" s="3" t="s">
        <v>13</v>
      </c>
      <c r="F126" s="3" t="s">
        <v>14</v>
      </c>
      <c r="G126" s="3">
        <v>9</v>
      </c>
      <c r="H126" s="14">
        <v>992.83</v>
      </c>
      <c r="I126" s="14">
        <f t="shared" si="6"/>
        <v>8935.4700000000012</v>
      </c>
      <c r="J126" s="3" t="str">
        <f t="shared" si="7"/>
        <v>Apr-25</v>
      </c>
    </row>
    <row r="127" spans="1:10" x14ac:dyDescent="0.35">
      <c r="A127" s="3" t="s">
        <v>155</v>
      </c>
      <c r="B127" s="4">
        <v>46011</v>
      </c>
      <c r="C127" s="3" t="s">
        <v>19</v>
      </c>
      <c r="D127" s="3" t="s">
        <v>20</v>
      </c>
      <c r="E127" s="3" t="s">
        <v>21</v>
      </c>
      <c r="F127" s="3" t="s">
        <v>41</v>
      </c>
      <c r="G127" s="3">
        <v>12</v>
      </c>
      <c r="H127" s="14">
        <v>34.94</v>
      </c>
      <c r="I127" s="14">
        <f t="shared" si="6"/>
        <v>419.28</v>
      </c>
      <c r="J127" s="3" t="str">
        <f t="shared" si="7"/>
        <v>Dec-25</v>
      </c>
    </row>
    <row r="128" spans="1:10" x14ac:dyDescent="0.35">
      <c r="A128" s="3" t="s">
        <v>156</v>
      </c>
      <c r="B128" s="4">
        <v>45959</v>
      </c>
      <c r="C128" s="3" t="s">
        <v>30</v>
      </c>
      <c r="D128" s="3" t="s">
        <v>16</v>
      </c>
      <c r="E128" s="3" t="s">
        <v>13</v>
      </c>
      <c r="F128" s="3" t="s">
        <v>41</v>
      </c>
      <c r="G128" s="3">
        <v>5</v>
      </c>
      <c r="H128" s="14">
        <v>924.11</v>
      </c>
      <c r="I128" s="14">
        <f t="shared" si="6"/>
        <v>4620.55</v>
      </c>
      <c r="J128" s="3" t="str">
        <f t="shared" si="7"/>
        <v>Oct-25</v>
      </c>
    </row>
    <row r="129" spans="1:10" x14ac:dyDescent="0.35">
      <c r="A129" s="3" t="s">
        <v>157</v>
      </c>
      <c r="B129" s="4">
        <v>45749</v>
      </c>
      <c r="C129" s="3" t="s">
        <v>30</v>
      </c>
      <c r="D129" s="3" t="s">
        <v>12</v>
      </c>
      <c r="E129" s="3" t="s">
        <v>13</v>
      </c>
      <c r="F129" s="3" t="s">
        <v>14</v>
      </c>
      <c r="G129" s="3">
        <v>9</v>
      </c>
      <c r="H129" s="14">
        <v>1155.19</v>
      </c>
      <c r="I129" s="14">
        <f t="shared" si="6"/>
        <v>10396.710000000001</v>
      </c>
      <c r="J129" s="3" t="str">
        <f t="shared" si="7"/>
        <v>Apr-25</v>
      </c>
    </row>
    <row r="130" spans="1:10" x14ac:dyDescent="0.35">
      <c r="A130" s="3" t="s">
        <v>158</v>
      </c>
      <c r="B130" s="4">
        <v>45681</v>
      </c>
      <c r="C130" s="3" t="s">
        <v>11</v>
      </c>
      <c r="D130" s="3" t="s">
        <v>32</v>
      </c>
      <c r="E130" s="3" t="s">
        <v>21</v>
      </c>
      <c r="F130" s="3" t="s">
        <v>14</v>
      </c>
      <c r="G130" s="3">
        <v>3</v>
      </c>
      <c r="H130" s="14">
        <v>86.17</v>
      </c>
      <c r="I130" s="14">
        <f t="shared" ref="I130:I161" si="8">G130*H130</f>
        <v>258.51</v>
      </c>
      <c r="J130" s="3" t="str">
        <f t="shared" ref="J130:J161" si="9">TEXT(B130,"mmm-yy")</f>
        <v>Jan-25</v>
      </c>
    </row>
    <row r="131" spans="1:10" x14ac:dyDescent="0.35">
      <c r="A131" s="3" t="s">
        <v>159</v>
      </c>
      <c r="B131" s="4">
        <v>45909</v>
      </c>
      <c r="C131" s="3" t="s">
        <v>11</v>
      </c>
      <c r="D131" s="3" t="s">
        <v>12</v>
      </c>
      <c r="E131" s="3" t="s">
        <v>13</v>
      </c>
      <c r="F131" s="3" t="s">
        <v>17</v>
      </c>
      <c r="G131" s="3">
        <v>5</v>
      </c>
      <c r="H131" s="14">
        <v>1196.33</v>
      </c>
      <c r="I131" s="14">
        <f t="shared" si="8"/>
        <v>5981.65</v>
      </c>
      <c r="J131" s="3" t="str">
        <f t="shared" si="9"/>
        <v>Sep-25</v>
      </c>
    </row>
    <row r="132" spans="1:10" x14ac:dyDescent="0.35">
      <c r="A132" s="3" t="s">
        <v>160</v>
      </c>
      <c r="B132" s="4">
        <v>45883</v>
      </c>
      <c r="C132" s="3" t="s">
        <v>30</v>
      </c>
      <c r="D132" s="3" t="s">
        <v>37</v>
      </c>
      <c r="E132" s="3" t="s">
        <v>21</v>
      </c>
      <c r="F132" s="3" t="s">
        <v>34</v>
      </c>
      <c r="G132" s="3">
        <v>5</v>
      </c>
      <c r="H132" s="14">
        <v>229.7</v>
      </c>
      <c r="I132" s="14">
        <f t="shared" si="8"/>
        <v>1148.5</v>
      </c>
      <c r="J132" s="3" t="str">
        <f t="shared" si="9"/>
        <v>Aug-25</v>
      </c>
    </row>
    <row r="133" spans="1:10" x14ac:dyDescent="0.35">
      <c r="A133" s="3" t="s">
        <v>161</v>
      </c>
      <c r="B133" s="4">
        <v>45902</v>
      </c>
      <c r="C133" s="3" t="s">
        <v>11</v>
      </c>
      <c r="D133" s="3" t="s">
        <v>16</v>
      </c>
      <c r="E133" s="3" t="s">
        <v>13</v>
      </c>
      <c r="F133" s="3" t="s">
        <v>24</v>
      </c>
      <c r="G133" s="3">
        <v>8</v>
      </c>
      <c r="H133" s="14">
        <v>909.54</v>
      </c>
      <c r="I133" s="14">
        <f t="shared" si="8"/>
        <v>7276.32</v>
      </c>
      <c r="J133" s="3" t="str">
        <f t="shared" si="9"/>
        <v>Sep-25</v>
      </c>
    </row>
    <row r="134" spans="1:10" x14ac:dyDescent="0.35">
      <c r="A134" s="3" t="s">
        <v>162</v>
      </c>
      <c r="B134" s="4">
        <v>45980</v>
      </c>
      <c r="C134" s="3" t="s">
        <v>11</v>
      </c>
      <c r="D134" s="3" t="s">
        <v>37</v>
      </c>
      <c r="E134" s="3" t="s">
        <v>21</v>
      </c>
      <c r="F134" s="3" t="s">
        <v>41</v>
      </c>
      <c r="G134" s="3">
        <v>10</v>
      </c>
      <c r="H134" s="14">
        <v>229.88</v>
      </c>
      <c r="I134" s="14">
        <f t="shared" si="8"/>
        <v>2298.8000000000002</v>
      </c>
      <c r="J134" s="3" t="str">
        <f t="shared" si="9"/>
        <v>Nov-25</v>
      </c>
    </row>
    <row r="135" spans="1:10" x14ac:dyDescent="0.35">
      <c r="A135" s="3" t="s">
        <v>163</v>
      </c>
      <c r="B135" s="4">
        <v>45701</v>
      </c>
      <c r="C135" s="3" t="s">
        <v>19</v>
      </c>
      <c r="D135" s="3" t="s">
        <v>16</v>
      </c>
      <c r="E135" s="3" t="s">
        <v>13</v>
      </c>
      <c r="F135" s="3" t="s">
        <v>17</v>
      </c>
      <c r="G135" s="3">
        <v>7</v>
      </c>
      <c r="H135" s="14">
        <v>960.1</v>
      </c>
      <c r="I135" s="14">
        <f t="shared" si="8"/>
        <v>6720.7</v>
      </c>
      <c r="J135" s="3" t="str">
        <f t="shared" si="9"/>
        <v>Feb-25</v>
      </c>
    </row>
    <row r="136" spans="1:10" x14ac:dyDescent="0.35">
      <c r="A136" s="3" t="s">
        <v>164</v>
      </c>
      <c r="B136" s="4">
        <v>45974</v>
      </c>
      <c r="C136" s="3" t="s">
        <v>19</v>
      </c>
      <c r="D136" s="3" t="s">
        <v>26</v>
      </c>
      <c r="E136" s="3" t="s">
        <v>21</v>
      </c>
      <c r="F136" s="3" t="s">
        <v>24</v>
      </c>
      <c r="G136" s="3">
        <v>8</v>
      </c>
      <c r="H136" s="14">
        <v>93.07</v>
      </c>
      <c r="I136" s="14">
        <f t="shared" si="8"/>
        <v>744.56</v>
      </c>
      <c r="J136" s="3" t="str">
        <f t="shared" si="9"/>
        <v>Nov-25</v>
      </c>
    </row>
    <row r="137" spans="1:10" x14ac:dyDescent="0.35">
      <c r="A137" s="3" t="s">
        <v>165</v>
      </c>
      <c r="B137" s="4">
        <v>45959</v>
      </c>
      <c r="C137" s="3" t="s">
        <v>23</v>
      </c>
      <c r="D137" s="3" t="s">
        <v>32</v>
      </c>
      <c r="E137" s="3" t="s">
        <v>21</v>
      </c>
      <c r="F137" s="3" t="s">
        <v>17</v>
      </c>
      <c r="G137" s="3">
        <v>10</v>
      </c>
      <c r="H137" s="14">
        <v>81.260000000000005</v>
      </c>
      <c r="I137" s="14">
        <f t="shared" si="8"/>
        <v>812.6</v>
      </c>
      <c r="J137" s="3" t="str">
        <f t="shared" si="9"/>
        <v>Oct-25</v>
      </c>
    </row>
    <row r="138" spans="1:10" x14ac:dyDescent="0.35">
      <c r="A138" s="3" t="s">
        <v>166</v>
      </c>
      <c r="B138" s="4">
        <v>45708</v>
      </c>
      <c r="C138" s="3" t="s">
        <v>19</v>
      </c>
      <c r="D138" s="3" t="s">
        <v>20</v>
      </c>
      <c r="E138" s="3" t="s">
        <v>21</v>
      </c>
      <c r="F138" s="3" t="s">
        <v>27</v>
      </c>
      <c r="G138" s="3">
        <v>11</v>
      </c>
      <c r="H138" s="14">
        <v>33.53</v>
      </c>
      <c r="I138" s="14">
        <f t="shared" si="8"/>
        <v>368.83000000000004</v>
      </c>
      <c r="J138" s="3" t="str">
        <f t="shared" si="9"/>
        <v>Feb-25</v>
      </c>
    </row>
    <row r="139" spans="1:10" x14ac:dyDescent="0.35">
      <c r="A139" s="3" t="s">
        <v>167</v>
      </c>
      <c r="B139" s="4">
        <v>45780</v>
      </c>
      <c r="C139" s="3" t="s">
        <v>19</v>
      </c>
      <c r="D139" s="3" t="s">
        <v>16</v>
      </c>
      <c r="E139" s="3" t="s">
        <v>13</v>
      </c>
      <c r="F139" s="3" t="s">
        <v>41</v>
      </c>
      <c r="G139" s="3">
        <v>1</v>
      </c>
      <c r="H139" s="14">
        <v>941.31</v>
      </c>
      <c r="I139" s="14">
        <f t="shared" si="8"/>
        <v>941.31</v>
      </c>
      <c r="J139" s="3" t="str">
        <f t="shared" si="9"/>
        <v>May-25</v>
      </c>
    </row>
    <row r="140" spans="1:10" x14ac:dyDescent="0.35">
      <c r="A140" s="3" t="s">
        <v>168</v>
      </c>
      <c r="B140" s="4">
        <v>46010</v>
      </c>
      <c r="C140" s="3" t="s">
        <v>23</v>
      </c>
      <c r="D140" s="3" t="s">
        <v>32</v>
      </c>
      <c r="E140" s="3" t="s">
        <v>21</v>
      </c>
      <c r="F140" s="3" t="s">
        <v>34</v>
      </c>
      <c r="G140" s="3">
        <v>4</v>
      </c>
      <c r="H140" s="14">
        <v>83.2</v>
      </c>
      <c r="I140" s="14">
        <f t="shared" si="8"/>
        <v>332.8</v>
      </c>
      <c r="J140" s="3" t="str">
        <f t="shared" si="9"/>
        <v>Dec-25</v>
      </c>
    </row>
    <row r="141" spans="1:10" x14ac:dyDescent="0.35">
      <c r="A141" s="3" t="s">
        <v>169</v>
      </c>
      <c r="B141" s="4">
        <v>45802</v>
      </c>
      <c r="C141" s="3" t="s">
        <v>23</v>
      </c>
      <c r="D141" s="3" t="s">
        <v>16</v>
      </c>
      <c r="E141" s="3" t="s">
        <v>13</v>
      </c>
      <c r="F141" s="3" t="s">
        <v>14</v>
      </c>
      <c r="G141" s="3">
        <v>4</v>
      </c>
      <c r="H141" s="14">
        <v>990.27</v>
      </c>
      <c r="I141" s="14">
        <f t="shared" si="8"/>
        <v>3961.08</v>
      </c>
      <c r="J141" s="3" t="str">
        <f t="shared" si="9"/>
        <v>May-25</v>
      </c>
    </row>
    <row r="142" spans="1:10" x14ac:dyDescent="0.35">
      <c r="A142" s="3" t="s">
        <v>170</v>
      </c>
      <c r="B142" s="4">
        <v>45978</v>
      </c>
      <c r="C142" s="3" t="s">
        <v>19</v>
      </c>
      <c r="D142" s="3" t="s">
        <v>26</v>
      </c>
      <c r="E142" s="3" t="s">
        <v>21</v>
      </c>
      <c r="F142" s="3" t="s">
        <v>34</v>
      </c>
      <c r="G142" s="3">
        <v>9</v>
      </c>
      <c r="H142" s="14">
        <v>92.39</v>
      </c>
      <c r="I142" s="14">
        <f t="shared" si="8"/>
        <v>831.51</v>
      </c>
      <c r="J142" s="3" t="str">
        <f t="shared" si="9"/>
        <v>Nov-25</v>
      </c>
    </row>
    <row r="143" spans="1:10" x14ac:dyDescent="0.35">
      <c r="A143" s="3" t="s">
        <v>171</v>
      </c>
      <c r="B143" s="4">
        <v>45734</v>
      </c>
      <c r="C143" s="3" t="s">
        <v>30</v>
      </c>
      <c r="D143" s="3" t="s">
        <v>37</v>
      </c>
      <c r="E143" s="3" t="s">
        <v>21</v>
      </c>
      <c r="F143" s="3" t="s">
        <v>34</v>
      </c>
      <c r="G143" s="3">
        <v>1</v>
      </c>
      <c r="H143" s="14">
        <v>212.65</v>
      </c>
      <c r="I143" s="14">
        <f t="shared" si="8"/>
        <v>212.65</v>
      </c>
      <c r="J143" s="3" t="str">
        <f t="shared" si="9"/>
        <v>Mar-25</v>
      </c>
    </row>
    <row r="144" spans="1:10" x14ac:dyDescent="0.35">
      <c r="A144" s="3" t="s">
        <v>172</v>
      </c>
      <c r="B144" s="4">
        <v>45815</v>
      </c>
      <c r="C144" s="3" t="s">
        <v>30</v>
      </c>
      <c r="D144" s="3" t="s">
        <v>44</v>
      </c>
      <c r="E144" s="3" t="s">
        <v>21</v>
      </c>
      <c r="F144" s="3" t="s">
        <v>34</v>
      </c>
      <c r="G144" s="3">
        <v>8</v>
      </c>
      <c r="H144" s="14">
        <v>61.13</v>
      </c>
      <c r="I144" s="14">
        <f t="shared" si="8"/>
        <v>489.04</v>
      </c>
      <c r="J144" s="3" t="str">
        <f t="shared" si="9"/>
        <v>Jun-25</v>
      </c>
    </row>
    <row r="145" spans="1:10" x14ac:dyDescent="0.35">
      <c r="A145" s="3" t="s">
        <v>173</v>
      </c>
      <c r="B145" s="4">
        <v>46016</v>
      </c>
      <c r="C145" s="3" t="s">
        <v>23</v>
      </c>
      <c r="D145" s="3" t="s">
        <v>32</v>
      </c>
      <c r="E145" s="3" t="s">
        <v>21</v>
      </c>
      <c r="F145" s="3" t="s">
        <v>17</v>
      </c>
      <c r="G145" s="3">
        <v>9</v>
      </c>
      <c r="H145" s="14">
        <v>84.95</v>
      </c>
      <c r="I145" s="14">
        <f t="shared" si="8"/>
        <v>764.55000000000007</v>
      </c>
      <c r="J145" s="3" t="str">
        <f t="shared" si="9"/>
        <v>Dec-25</v>
      </c>
    </row>
    <row r="146" spans="1:10" x14ac:dyDescent="0.35">
      <c r="A146" s="3" t="s">
        <v>174</v>
      </c>
      <c r="B146" s="4">
        <v>45699</v>
      </c>
      <c r="C146" s="3" t="s">
        <v>11</v>
      </c>
      <c r="D146" s="3" t="s">
        <v>26</v>
      </c>
      <c r="E146" s="3" t="s">
        <v>21</v>
      </c>
      <c r="F146" s="3" t="s">
        <v>14</v>
      </c>
      <c r="G146" s="3">
        <v>6</v>
      </c>
      <c r="H146" s="14">
        <v>95.99</v>
      </c>
      <c r="I146" s="14">
        <f t="shared" si="8"/>
        <v>575.93999999999994</v>
      </c>
      <c r="J146" s="3" t="str">
        <f t="shared" si="9"/>
        <v>Feb-25</v>
      </c>
    </row>
    <row r="147" spans="1:10" x14ac:dyDescent="0.35">
      <c r="A147" s="3" t="s">
        <v>175</v>
      </c>
      <c r="B147" s="4">
        <v>45671</v>
      </c>
      <c r="C147" s="3" t="s">
        <v>11</v>
      </c>
      <c r="D147" s="3" t="s">
        <v>20</v>
      </c>
      <c r="E147" s="3" t="s">
        <v>21</v>
      </c>
      <c r="F147" s="3" t="s">
        <v>14</v>
      </c>
      <c r="G147" s="3">
        <v>10</v>
      </c>
      <c r="H147" s="14">
        <v>35.299999999999997</v>
      </c>
      <c r="I147" s="14">
        <f t="shared" si="8"/>
        <v>353</v>
      </c>
      <c r="J147" s="3" t="str">
        <f t="shared" si="9"/>
        <v>Jan-25</v>
      </c>
    </row>
    <row r="148" spans="1:10" x14ac:dyDescent="0.35">
      <c r="A148" s="3" t="s">
        <v>176</v>
      </c>
      <c r="B148" s="4">
        <v>45668</v>
      </c>
      <c r="C148" s="3" t="s">
        <v>30</v>
      </c>
      <c r="D148" s="3" t="s">
        <v>12</v>
      </c>
      <c r="E148" s="3" t="s">
        <v>13</v>
      </c>
      <c r="F148" s="3" t="s">
        <v>41</v>
      </c>
      <c r="G148" s="3">
        <v>8</v>
      </c>
      <c r="H148" s="14">
        <v>1202.28</v>
      </c>
      <c r="I148" s="14">
        <f t="shared" si="8"/>
        <v>9618.24</v>
      </c>
      <c r="J148" s="3" t="str">
        <f t="shared" si="9"/>
        <v>Jan-25</v>
      </c>
    </row>
    <row r="149" spans="1:10" x14ac:dyDescent="0.35">
      <c r="A149" s="3" t="s">
        <v>177</v>
      </c>
      <c r="B149" s="4">
        <v>45884</v>
      </c>
      <c r="C149" s="3" t="s">
        <v>30</v>
      </c>
      <c r="D149" s="3" t="s">
        <v>37</v>
      </c>
      <c r="E149" s="3" t="s">
        <v>21</v>
      </c>
      <c r="F149" s="3" t="s">
        <v>17</v>
      </c>
      <c r="G149" s="3">
        <v>7</v>
      </c>
      <c r="H149" s="14">
        <v>222.97</v>
      </c>
      <c r="I149" s="14">
        <f t="shared" si="8"/>
        <v>1560.79</v>
      </c>
      <c r="J149" s="3" t="str">
        <f t="shared" si="9"/>
        <v>Aug-25</v>
      </c>
    </row>
    <row r="150" spans="1:10" x14ac:dyDescent="0.35">
      <c r="A150" s="3" t="s">
        <v>178</v>
      </c>
      <c r="B150" s="4">
        <v>45909</v>
      </c>
      <c r="C150" s="3" t="s">
        <v>11</v>
      </c>
      <c r="D150" s="3" t="s">
        <v>44</v>
      </c>
      <c r="E150" s="3" t="s">
        <v>21</v>
      </c>
      <c r="F150" s="3" t="s">
        <v>27</v>
      </c>
      <c r="G150" s="3">
        <v>7</v>
      </c>
      <c r="H150" s="14">
        <v>59</v>
      </c>
      <c r="I150" s="14">
        <f t="shared" si="8"/>
        <v>413</v>
      </c>
      <c r="J150" s="3" t="str">
        <f t="shared" si="9"/>
        <v>Sep-25</v>
      </c>
    </row>
    <row r="151" spans="1:10" x14ac:dyDescent="0.35">
      <c r="A151" s="3" t="s">
        <v>179</v>
      </c>
      <c r="B151" s="4">
        <v>46001</v>
      </c>
      <c r="C151" s="3" t="s">
        <v>11</v>
      </c>
      <c r="D151" s="3" t="s">
        <v>37</v>
      </c>
      <c r="E151" s="3" t="s">
        <v>21</v>
      </c>
      <c r="F151" s="3" t="s">
        <v>27</v>
      </c>
      <c r="G151" s="3">
        <v>7</v>
      </c>
      <c r="H151" s="14">
        <v>224.26</v>
      </c>
      <c r="I151" s="14">
        <f t="shared" si="8"/>
        <v>1569.82</v>
      </c>
      <c r="J151" s="3" t="str">
        <f t="shared" si="9"/>
        <v>Dec-25</v>
      </c>
    </row>
    <row r="152" spans="1:10" x14ac:dyDescent="0.35">
      <c r="A152" s="3" t="s">
        <v>180</v>
      </c>
      <c r="B152" s="4">
        <v>45805</v>
      </c>
      <c r="C152" s="3" t="s">
        <v>23</v>
      </c>
      <c r="D152" s="3" t="s">
        <v>12</v>
      </c>
      <c r="E152" s="3" t="s">
        <v>13</v>
      </c>
      <c r="F152" s="3" t="s">
        <v>24</v>
      </c>
      <c r="G152" s="3">
        <v>2</v>
      </c>
      <c r="H152" s="14">
        <v>1177.74</v>
      </c>
      <c r="I152" s="14">
        <f t="shared" si="8"/>
        <v>2355.48</v>
      </c>
      <c r="J152" s="3" t="str">
        <f t="shared" si="9"/>
        <v>May-25</v>
      </c>
    </row>
    <row r="153" spans="1:10" x14ac:dyDescent="0.35">
      <c r="A153" s="3" t="s">
        <v>181</v>
      </c>
      <c r="B153" s="4">
        <v>45823</v>
      </c>
      <c r="C153" s="3" t="s">
        <v>11</v>
      </c>
      <c r="D153" s="3" t="s">
        <v>26</v>
      </c>
      <c r="E153" s="3" t="s">
        <v>21</v>
      </c>
      <c r="F153" s="3" t="s">
        <v>17</v>
      </c>
      <c r="G153" s="3">
        <v>1</v>
      </c>
      <c r="H153" s="14">
        <v>96.5</v>
      </c>
      <c r="I153" s="14">
        <f t="shared" si="8"/>
        <v>96.5</v>
      </c>
      <c r="J153" s="3" t="str">
        <f t="shared" si="9"/>
        <v>Jun-25</v>
      </c>
    </row>
    <row r="154" spans="1:10" x14ac:dyDescent="0.35">
      <c r="A154" s="3" t="s">
        <v>182</v>
      </c>
      <c r="B154" s="4">
        <v>45935</v>
      </c>
      <c r="C154" s="3" t="s">
        <v>23</v>
      </c>
      <c r="D154" s="3" t="s">
        <v>26</v>
      </c>
      <c r="E154" s="3" t="s">
        <v>21</v>
      </c>
      <c r="F154" s="3" t="s">
        <v>34</v>
      </c>
      <c r="G154" s="3">
        <v>4</v>
      </c>
      <c r="H154" s="14">
        <v>95.18</v>
      </c>
      <c r="I154" s="14">
        <f t="shared" si="8"/>
        <v>380.72</v>
      </c>
      <c r="J154" s="3" t="str">
        <f t="shared" si="9"/>
        <v>Oct-25</v>
      </c>
    </row>
    <row r="155" spans="1:10" x14ac:dyDescent="0.35">
      <c r="A155" s="3" t="s">
        <v>183</v>
      </c>
      <c r="B155" s="4">
        <v>45976</v>
      </c>
      <c r="C155" s="3" t="s">
        <v>23</v>
      </c>
      <c r="D155" s="3" t="s">
        <v>44</v>
      </c>
      <c r="E155" s="3" t="s">
        <v>21</v>
      </c>
      <c r="F155" s="3" t="s">
        <v>34</v>
      </c>
      <c r="G155" s="3">
        <v>4</v>
      </c>
      <c r="H155" s="14">
        <v>58.6</v>
      </c>
      <c r="I155" s="14">
        <f t="shared" si="8"/>
        <v>234.4</v>
      </c>
      <c r="J155" s="3" t="str">
        <f t="shared" si="9"/>
        <v>Nov-25</v>
      </c>
    </row>
    <row r="156" spans="1:10" x14ac:dyDescent="0.35">
      <c r="A156" s="3" t="s">
        <v>184</v>
      </c>
      <c r="B156" s="4">
        <v>45725</v>
      </c>
      <c r="C156" s="3" t="s">
        <v>30</v>
      </c>
      <c r="D156" s="3" t="s">
        <v>44</v>
      </c>
      <c r="E156" s="3" t="s">
        <v>21</v>
      </c>
      <c r="F156" s="3" t="s">
        <v>14</v>
      </c>
      <c r="G156" s="3">
        <v>8</v>
      </c>
      <c r="H156" s="14">
        <v>57.73</v>
      </c>
      <c r="I156" s="14">
        <f t="shared" si="8"/>
        <v>461.84</v>
      </c>
      <c r="J156" s="3" t="str">
        <f t="shared" si="9"/>
        <v>Mar-25</v>
      </c>
    </row>
    <row r="157" spans="1:10" x14ac:dyDescent="0.35">
      <c r="A157" s="3" t="s">
        <v>185</v>
      </c>
      <c r="B157" s="4">
        <v>45980</v>
      </c>
      <c r="C157" s="3" t="s">
        <v>19</v>
      </c>
      <c r="D157" s="3" t="s">
        <v>37</v>
      </c>
      <c r="E157" s="3" t="s">
        <v>21</v>
      </c>
      <c r="F157" s="3" t="s">
        <v>27</v>
      </c>
      <c r="G157" s="3">
        <v>9</v>
      </c>
      <c r="H157" s="14">
        <v>209.3</v>
      </c>
      <c r="I157" s="14">
        <f t="shared" si="8"/>
        <v>1883.7</v>
      </c>
      <c r="J157" s="3" t="str">
        <f t="shared" si="9"/>
        <v>Nov-25</v>
      </c>
    </row>
    <row r="158" spans="1:10" x14ac:dyDescent="0.35">
      <c r="A158" s="3" t="s">
        <v>186</v>
      </c>
      <c r="B158" s="4">
        <v>45866</v>
      </c>
      <c r="C158" s="3" t="s">
        <v>11</v>
      </c>
      <c r="D158" s="3" t="s">
        <v>20</v>
      </c>
      <c r="E158" s="3" t="s">
        <v>21</v>
      </c>
      <c r="F158" s="3" t="s">
        <v>34</v>
      </c>
      <c r="G158" s="3">
        <v>8</v>
      </c>
      <c r="H158" s="14">
        <v>36.56</v>
      </c>
      <c r="I158" s="14">
        <f t="shared" si="8"/>
        <v>292.48</v>
      </c>
      <c r="J158" s="3" t="str">
        <f t="shared" si="9"/>
        <v>Jul-25</v>
      </c>
    </row>
    <row r="159" spans="1:10" x14ac:dyDescent="0.35">
      <c r="A159" s="3" t="s">
        <v>187</v>
      </c>
      <c r="B159" s="4">
        <v>45989</v>
      </c>
      <c r="C159" s="3" t="s">
        <v>19</v>
      </c>
      <c r="D159" s="3" t="s">
        <v>44</v>
      </c>
      <c r="E159" s="3" t="s">
        <v>21</v>
      </c>
      <c r="F159" s="3" t="s">
        <v>14</v>
      </c>
      <c r="G159" s="3">
        <v>5</v>
      </c>
      <c r="H159" s="14">
        <v>60.05</v>
      </c>
      <c r="I159" s="14">
        <f t="shared" si="8"/>
        <v>300.25</v>
      </c>
      <c r="J159" s="3" t="str">
        <f t="shared" si="9"/>
        <v>Nov-25</v>
      </c>
    </row>
    <row r="160" spans="1:10" x14ac:dyDescent="0.35">
      <c r="A160" s="3" t="s">
        <v>188</v>
      </c>
      <c r="B160" s="4">
        <v>45797</v>
      </c>
      <c r="C160" s="3" t="s">
        <v>23</v>
      </c>
      <c r="D160" s="3" t="s">
        <v>44</v>
      </c>
      <c r="E160" s="3" t="s">
        <v>21</v>
      </c>
      <c r="F160" s="3" t="s">
        <v>24</v>
      </c>
      <c r="G160" s="3">
        <v>4</v>
      </c>
      <c r="H160" s="14">
        <v>59.74</v>
      </c>
      <c r="I160" s="14">
        <f t="shared" si="8"/>
        <v>238.96</v>
      </c>
      <c r="J160" s="3" t="str">
        <f t="shared" si="9"/>
        <v>May-25</v>
      </c>
    </row>
    <row r="161" spans="1:10" x14ac:dyDescent="0.35">
      <c r="A161" s="3" t="s">
        <v>189</v>
      </c>
      <c r="B161" s="4">
        <v>45732</v>
      </c>
      <c r="C161" s="3" t="s">
        <v>23</v>
      </c>
      <c r="D161" s="3" t="s">
        <v>20</v>
      </c>
      <c r="E161" s="3" t="s">
        <v>21</v>
      </c>
      <c r="F161" s="3" t="s">
        <v>17</v>
      </c>
      <c r="G161" s="3">
        <v>9</v>
      </c>
      <c r="H161" s="14">
        <v>35.86</v>
      </c>
      <c r="I161" s="14">
        <f t="shared" si="8"/>
        <v>322.74</v>
      </c>
      <c r="J161" s="3" t="str">
        <f t="shared" si="9"/>
        <v>Mar-25</v>
      </c>
    </row>
    <row r="162" spans="1:10" x14ac:dyDescent="0.35">
      <c r="A162" s="3" t="s">
        <v>190</v>
      </c>
      <c r="B162" s="4">
        <v>45727</v>
      </c>
      <c r="C162" s="3" t="s">
        <v>11</v>
      </c>
      <c r="D162" s="3" t="s">
        <v>32</v>
      </c>
      <c r="E162" s="3" t="s">
        <v>21</v>
      </c>
      <c r="F162" s="3" t="s">
        <v>24</v>
      </c>
      <c r="G162" s="3">
        <v>6</v>
      </c>
      <c r="H162" s="14">
        <v>88.69</v>
      </c>
      <c r="I162" s="14">
        <f t="shared" ref="I162:I181" si="10">G162*H162</f>
        <v>532.14</v>
      </c>
      <c r="J162" s="3" t="str">
        <f t="shared" ref="J162:J181" si="11">TEXT(B162,"mmm-yy")</f>
        <v>Mar-25</v>
      </c>
    </row>
    <row r="163" spans="1:10" x14ac:dyDescent="0.35">
      <c r="A163" s="3" t="s">
        <v>191</v>
      </c>
      <c r="B163" s="4">
        <v>45917</v>
      </c>
      <c r="C163" s="3" t="s">
        <v>30</v>
      </c>
      <c r="D163" s="3" t="s">
        <v>12</v>
      </c>
      <c r="E163" s="3" t="s">
        <v>13</v>
      </c>
      <c r="F163" s="3" t="s">
        <v>27</v>
      </c>
      <c r="G163" s="3">
        <v>12</v>
      </c>
      <c r="H163" s="14">
        <v>1175.83</v>
      </c>
      <c r="I163" s="14">
        <f t="shared" si="10"/>
        <v>14109.96</v>
      </c>
      <c r="J163" s="3" t="str">
        <f t="shared" si="11"/>
        <v>Sep-25</v>
      </c>
    </row>
    <row r="164" spans="1:10" x14ac:dyDescent="0.35">
      <c r="A164" s="3" t="s">
        <v>192</v>
      </c>
      <c r="B164" s="4">
        <v>45958</v>
      </c>
      <c r="C164" s="3" t="s">
        <v>23</v>
      </c>
      <c r="D164" s="3" t="s">
        <v>37</v>
      </c>
      <c r="E164" s="3" t="s">
        <v>21</v>
      </c>
      <c r="F164" s="3" t="s">
        <v>24</v>
      </c>
      <c r="G164" s="3">
        <v>9</v>
      </c>
      <c r="H164" s="14">
        <v>219.66</v>
      </c>
      <c r="I164" s="14">
        <f t="shared" si="10"/>
        <v>1976.94</v>
      </c>
      <c r="J164" s="3" t="str">
        <f t="shared" si="11"/>
        <v>Oct-25</v>
      </c>
    </row>
    <row r="165" spans="1:10" x14ac:dyDescent="0.35">
      <c r="A165" s="3" t="s">
        <v>193</v>
      </c>
      <c r="B165" s="4">
        <v>45828</v>
      </c>
      <c r="C165" s="3" t="s">
        <v>23</v>
      </c>
      <c r="D165" s="3" t="s">
        <v>44</v>
      </c>
      <c r="E165" s="3" t="s">
        <v>21</v>
      </c>
      <c r="F165" s="3" t="s">
        <v>27</v>
      </c>
      <c r="G165" s="3">
        <v>4</v>
      </c>
      <c r="H165" s="14">
        <v>62.88</v>
      </c>
      <c r="I165" s="14">
        <f t="shared" si="10"/>
        <v>251.52</v>
      </c>
      <c r="J165" s="3" t="str">
        <f t="shared" si="11"/>
        <v>Jun-25</v>
      </c>
    </row>
    <row r="166" spans="1:10" x14ac:dyDescent="0.35">
      <c r="A166" s="3" t="s">
        <v>194</v>
      </c>
      <c r="B166" s="4">
        <v>45780</v>
      </c>
      <c r="C166" s="3" t="s">
        <v>23</v>
      </c>
      <c r="D166" s="3" t="s">
        <v>20</v>
      </c>
      <c r="E166" s="3" t="s">
        <v>21</v>
      </c>
      <c r="F166" s="3" t="s">
        <v>24</v>
      </c>
      <c r="G166" s="3">
        <v>1</v>
      </c>
      <c r="H166" s="14">
        <v>34.36</v>
      </c>
      <c r="I166" s="14">
        <f t="shared" si="10"/>
        <v>34.36</v>
      </c>
      <c r="J166" s="3" t="str">
        <f t="shared" si="11"/>
        <v>May-25</v>
      </c>
    </row>
    <row r="167" spans="1:10" x14ac:dyDescent="0.35">
      <c r="A167" s="3" t="s">
        <v>195</v>
      </c>
      <c r="B167" s="4">
        <v>45900</v>
      </c>
      <c r="C167" s="3" t="s">
        <v>23</v>
      </c>
      <c r="D167" s="3" t="s">
        <v>26</v>
      </c>
      <c r="E167" s="3" t="s">
        <v>21</v>
      </c>
      <c r="F167" s="3" t="s">
        <v>14</v>
      </c>
      <c r="G167" s="3">
        <v>11</v>
      </c>
      <c r="H167" s="14">
        <v>99.57</v>
      </c>
      <c r="I167" s="14">
        <f t="shared" si="10"/>
        <v>1095.27</v>
      </c>
      <c r="J167" s="3" t="str">
        <f t="shared" si="11"/>
        <v>Aug-25</v>
      </c>
    </row>
    <row r="168" spans="1:10" x14ac:dyDescent="0.35">
      <c r="A168" s="3" t="s">
        <v>196</v>
      </c>
      <c r="B168" s="4">
        <v>45911</v>
      </c>
      <c r="C168" s="3" t="s">
        <v>11</v>
      </c>
      <c r="D168" s="3" t="s">
        <v>37</v>
      </c>
      <c r="E168" s="3" t="s">
        <v>21</v>
      </c>
      <c r="F168" s="3" t="s">
        <v>17</v>
      </c>
      <c r="G168" s="3">
        <v>10</v>
      </c>
      <c r="H168" s="14">
        <v>216.3</v>
      </c>
      <c r="I168" s="14">
        <f t="shared" si="10"/>
        <v>2163</v>
      </c>
      <c r="J168" s="3" t="str">
        <f t="shared" si="11"/>
        <v>Sep-25</v>
      </c>
    </row>
    <row r="169" spans="1:10" x14ac:dyDescent="0.35">
      <c r="A169" s="3" t="s">
        <v>197</v>
      </c>
      <c r="B169" s="4">
        <v>45709</v>
      </c>
      <c r="C169" s="3" t="s">
        <v>23</v>
      </c>
      <c r="D169" s="3" t="s">
        <v>16</v>
      </c>
      <c r="E169" s="3" t="s">
        <v>13</v>
      </c>
      <c r="F169" s="3" t="s">
        <v>17</v>
      </c>
      <c r="G169" s="3">
        <v>8</v>
      </c>
      <c r="H169" s="14">
        <v>903.96</v>
      </c>
      <c r="I169" s="14">
        <f t="shared" si="10"/>
        <v>7231.68</v>
      </c>
      <c r="J169" s="3" t="str">
        <f t="shared" si="11"/>
        <v>Feb-25</v>
      </c>
    </row>
    <row r="170" spans="1:10" x14ac:dyDescent="0.35">
      <c r="A170" s="3" t="s">
        <v>198</v>
      </c>
      <c r="B170" s="4">
        <v>45731</v>
      </c>
      <c r="C170" s="3" t="s">
        <v>23</v>
      </c>
      <c r="D170" s="3" t="s">
        <v>37</v>
      </c>
      <c r="E170" s="3" t="s">
        <v>21</v>
      </c>
      <c r="F170" s="3" t="s">
        <v>34</v>
      </c>
      <c r="G170" s="3">
        <v>8</v>
      </c>
      <c r="H170" s="14">
        <v>226.19</v>
      </c>
      <c r="I170" s="14">
        <f t="shared" si="10"/>
        <v>1809.52</v>
      </c>
      <c r="J170" s="3" t="str">
        <f t="shared" si="11"/>
        <v>Mar-25</v>
      </c>
    </row>
    <row r="171" spans="1:10" x14ac:dyDescent="0.35">
      <c r="A171" s="3" t="s">
        <v>199</v>
      </c>
      <c r="B171" s="4">
        <v>45793</v>
      </c>
      <c r="C171" s="3" t="s">
        <v>30</v>
      </c>
      <c r="D171" s="3" t="s">
        <v>26</v>
      </c>
      <c r="E171" s="3" t="s">
        <v>21</v>
      </c>
      <c r="F171" s="3" t="s">
        <v>14</v>
      </c>
      <c r="G171" s="3">
        <v>2</v>
      </c>
      <c r="H171" s="14">
        <v>98.34</v>
      </c>
      <c r="I171" s="14">
        <f t="shared" si="10"/>
        <v>196.68</v>
      </c>
      <c r="J171" s="3" t="str">
        <f t="shared" si="11"/>
        <v>May-25</v>
      </c>
    </row>
    <row r="172" spans="1:10" x14ac:dyDescent="0.35">
      <c r="A172" s="3" t="s">
        <v>200</v>
      </c>
      <c r="B172" s="4">
        <v>46003</v>
      </c>
      <c r="C172" s="3" t="s">
        <v>23</v>
      </c>
      <c r="D172" s="3" t="s">
        <v>51</v>
      </c>
      <c r="E172" s="3" t="s">
        <v>21</v>
      </c>
      <c r="F172" s="3" t="s">
        <v>14</v>
      </c>
      <c r="G172" s="3">
        <v>12</v>
      </c>
      <c r="H172" s="14">
        <v>186.97</v>
      </c>
      <c r="I172" s="14">
        <f t="shared" si="10"/>
        <v>2243.64</v>
      </c>
      <c r="J172" s="3" t="str">
        <f t="shared" si="11"/>
        <v>Dec-25</v>
      </c>
    </row>
    <row r="173" spans="1:10" x14ac:dyDescent="0.35">
      <c r="A173" s="3" t="s">
        <v>201</v>
      </c>
      <c r="B173" s="4">
        <v>45907</v>
      </c>
      <c r="C173" s="3" t="s">
        <v>11</v>
      </c>
      <c r="D173" s="3" t="s">
        <v>16</v>
      </c>
      <c r="E173" s="3" t="s">
        <v>13</v>
      </c>
      <c r="F173" s="3" t="s">
        <v>41</v>
      </c>
      <c r="G173" s="3">
        <v>11</v>
      </c>
      <c r="H173" s="14">
        <v>967.52</v>
      </c>
      <c r="I173" s="14">
        <f t="shared" si="10"/>
        <v>10642.72</v>
      </c>
      <c r="J173" s="3" t="str">
        <f t="shared" si="11"/>
        <v>Sep-25</v>
      </c>
    </row>
    <row r="174" spans="1:10" x14ac:dyDescent="0.35">
      <c r="A174" s="3" t="s">
        <v>202</v>
      </c>
      <c r="B174" s="4">
        <v>45805</v>
      </c>
      <c r="C174" s="3" t="s">
        <v>19</v>
      </c>
      <c r="D174" s="3" t="s">
        <v>16</v>
      </c>
      <c r="E174" s="3" t="s">
        <v>13</v>
      </c>
      <c r="F174" s="3" t="s">
        <v>24</v>
      </c>
      <c r="G174" s="3">
        <v>2</v>
      </c>
      <c r="H174" s="14">
        <v>974.74</v>
      </c>
      <c r="I174" s="14">
        <f t="shared" si="10"/>
        <v>1949.48</v>
      </c>
      <c r="J174" s="3" t="str">
        <f t="shared" si="11"/>
        <v>May-25</v>
      </c>
    </row>
    <row r="175" spans="1:10" x14ac:dyDescent="0.35">
      <c r="A175" s="3" t="s">
        <v>203</v>
      </c>
      <c r="B175" s="4">
        <v>46018</v>
      </c>
      <c r="C175" s="3" t="s">
        <v>11</v>
      </c>
      <c r="D175" s="3" t="s">
        <v>44</v>
      </c>
      <c r="E175" s="3" t="s">
        <v>21</v>
      </c>
      <c r="F175" s="3" t="s">
        <v>41</v>
      </c>
      <c r="G175" s="3">
        <v>12</v>
      </c>
      <c r="H175" s="14">
        <v>58.8</v>
      </c>
      <c r="I175" s="14">
        <f t="shared" si="10"/>
        <v>705.59999999999991</v>
      </c>
      <c r="J175" s="3" t="str">
        <f t="shared" si="11"/>
        <v>Dec-25</v>
      </c>
    </row>
    <row r="176" spans="1:10" x14ac:dyDescent="0.35">
      <c r="A176" s="3" t="s">
        <v>204</v>
      </c>
      <c r="B176" s="4">
        <v>45672</v>
      </c>
      <c r="C176" s="3" t="s">
        <v>11</v>
      </c>
      <c r="D176" s="3" t="s">
        <v>51</v>
      </c>
      <c r="E176" s="3" t="s">
        <v>21</v>
      </c>
      <c r="F176" s="3" t="s">
        <v>34</v>
      </c>
      <c r="G176" s="3">
        <v>5</v>
      </c>
      <c r="H176" s="14">
        <v>177.45</v>
      </c>
      <c r="I176" s="14">
        <f t="shared" si="10"/>
        <v>887.25</v>
      </c>
      <c r="J176" s="3" t="str">
        <f t="shared" si="11"/>
        <v>Jan-25</v>
      </c>
    </row>
    <row r="177" spans="1:10" x14ac:dyDescent="0.35">
      <c r="A177" s="3" t="s">
        <v>205</v>
      </c>
      <c r="B177" s="4">
        <v>45878</v>
      </c>
      <c r="C177" s="3" t="s">
        <v>19</v>
      </c>
      <c r="D177" s="3" t="s">
        <v>20</v>
      </c>
      <c r="E177" s="3" t="s">
        <v>21</v>
      </c>
      <c r="F177" s="3" t="s">
        <v>17</v>
      </c>
      <c r="G177" s="3">
        <v>7</v>
      </c>
      <c r="H177" s="14">
        <v>35.229999999999997</v>
      </c>
      <c r="I177" s="14">
        <f t="shared" si="10"/>
        <v>246.60999999999999</v>
      </c>
      <c r="J177" s="3" t="str">
        <f t="shared" si="11"/>
        <v>Aug-25</v>
      </c>
    </row>
    <row r="178" spans="1:10" x14ac:dyDescent="0.35">
      <c r="A178" s="3" t="s">
        <v>206</v>
      </c>
      <c r="B178" s="4">
        <v>45750</v>
      </c>
      <c r="C178" s="3" t="s">
        <v>19</v>
      </c>
      <c r="D178" s="3" t="s">
        <v>37</v>
      </c>
      <c r="E178" s="3" t="s">
        <v>21</v>
      </c>
      <c r="F178" s="3" t="s">
        <v>34</v>
      </c>
      <c r="G178" s="3">
        <v>10</v>
      </c>
      <c r="H178" s="14">
        <v>228.16</v>
      </c>
      <c r="I178" s="14">
        <f t="shared" si="10"/>
        <v>2281.6</v>
      </c>
      <c r="J178" s="3" t="str">
        <f t="shared" si="11"/>
        <v>Apr-25</v>
      </c>
    </row>
    <row r="179" spans="1:10" x14ac:dyDescent="0.35">
      <c r="A179" s="3" t="s">
        <v>207</v>
      </c>
      <c r="B179" s="4">
        <v>45975</v>
      </c>
      <c r="C179" s="3" t="s">
        <v>19</v>
      </c>
      <c r="D179" s="3" t="s">
        <v>44</v>
      </c>
      <c r="E179" s="3" t="s">
        <v>21</v>
      </c>
      <c r="F179" s="3" t="s">
        <v>17</v>
      </c>
      <c r="G179" s="3">
        <v>3</v>
      </c>
      <c r="H179" s="14">
        <v>58.39</v>
      </c>
      <c r="I179" s="14">
        <f t="shared" si="10"/>
        <v>175.17000000000002</v>
      </c>
      <c r="J179" s="3" t="str">
        <f t="shared" si="11"/>
        <v>Nov-25</v>
      </c>
    </row>
    <row r="180" spans="1:10" x14ac:dyDescent="0.35">
      <c r="A180" s="3" t="s">
        <v>208</v>
      </c>
      <c r="B180" s="4">
        <v>45984</v>
      </c>
      <c r="C180" s="3" t="s">
        <v>30</v>
      </c>
      <c r="D180" s="3" t="s">
        <v>44</v>
      </c>
      <c r="E180" s="3" t="s">
        <v>21</v>
      </c>
      <c r="F180" s="3" t="s">
        <v>27</v>
      </c>
      <c r="G180" s="3">
        <v>11</v>
      </c>
      <c r="H180" s="14">
        <v>57.06</v>
      </c>
      <c r="I180" s="14">
        <f t="shared" si="10"/>
        <v>627.66000000000008</v>
      </c>
      <c r="J180" s="3" t="str">
        <f t="shared" si="11"/>
        <v>Nov-25</v>
      </c>
    </row>
    <row r="181" spans="1:10" x14ac:dyDescent="0.35">
      <c r="A181" s="3" t="s">
        <v>209</v>
      </c>
      <c r="B181" s="4">
        <v>45896</v>
      </c>
      <c r="C181" s="3" t="s">
        <v>30</v>
      </c>
      <c r="D181" s="3" t="s">
        <v>37</v>
      </c>
      <c r="E181" s="3" t="s">
        <v>21</v>
      </c>
      <c r="F181" s="3" t="s">
        <v>34</v>
      </c>
      <c r="G181" s="3">
        <v>8</v>
      </c>
      <c r="H181" s="14">
        <v>229.8</v>
      </c>
      <c r="I181" s="14">
        <f t="shared" si="10"/>
        <v>1838.4</v>
      </c>
      <c r="J181" s="3" t="str">
        <f t="shared" si="11"/>
        <v>Aug-25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0"/>
  <sheetViews>
    <sheetView showGridLines="0" topLeftCell="A42" zoomScaleNormal="100" workbookViewId="0">
      <selection activeCell="G35" sqref="G35"/>
    </sheetView>
  </sheetViews>
  <sheetFormatPr defaultColWidth="8.6328125" defaultRowHeight="14.5" x14ac:dyDescent="0.35"/>
  <cols>
    <col min="1" max="1" width="3" style="6" customWidth="1"/>
    <col min="2" max="2" width="49.54296875" style="6" customWidth="1"/>
    <col min="3" max="3" width="11.7265625" style="17" bestFit="1" customWidth="1"/>
    <col min="4" max="5" width="3" style="6" customWidth="1"/>
    <col min="6" max="6" width="50.90625" style="6" bestFit="1" customWidth="1"/>
    <col min="7" max="7" width="12.26953125" style="17" bestFit="1" customWidth="1"/>
    <col min="8" max="8" width="3" style="6" customWidth="1"/>
    <col min="9" max="9" width="17.1796875" style="6" customWidth="1"/>
    <col min="10" max="16384" width="8.6328125" style="6"/>
  </cols>
  <sheetData>
    <row r="2" spans="2:12" ht="26" x14ac:dyDescent="0.6">
      <c r="B2" s="5" t="s">
        <v>210</v>
      </c>
    </row>
    <row r="3" spans="2:12" x14ac:dyDescent="0.35">
      <c r="B3" s="7" t="s">
        <v>211</v>
      </c>
    </row>
    <row r="5" spans="2:12" x14ac:dyDescent="0.35">
      <c r="B5" s="10" t="s">
        <v>212</v>
      </c>
      <c r="C5" s="10"/>
      <c r="E5" s="10" t="s">
        <v>213</v>
      </c>
      <c r="F5" s="10"/>
      <c r="H5" s="10" t="s">
        <v>214</v>
      </c>
      <c r="I5" s="10"/>
      <c r="K5" s="10" t="s">
        <v>6</v>
      </c>
      <c r="L5" s="10"/>
    </row>
    <row r="6" spans="2:12" ht="23.5" x14ac:dyDescent="0.55000000000000004">
      <c r="B6" s="16">
        <f>SUM(Sales_Data!I2:I181)</f>
        <v>486797.58000000007</v>
      </c>
      <c r="C6" s="16"/>
      <c r="E6" s="11">
        <f>COUNTA(Sales_Data!A2:A181)</f>
        <v>180</v>
      </c>
      <c r="F6" s="11"/>
      <c r="H6" s="16">
        <f>AVERAGE(Sales_Data!I2:I181)</f>
        <v>2704.4310000000005</v>
      </c>
      <c r="I6" s="16"/>
      <c r="K6" s="11">
        <f>SUM(Sales_Data!G2:G181)</f>
        <v>1210</v>
      </c>
      <c r="L6" s="11"/>
    </row>
    <row r="9" spans="2:12" ht="17" x14ac:dyDescent="0.4">
      <c r="B9" s="12" t="s">
        <v>215</v>
      </c>
      <c r="C9" s="12"/>
      <c r="F9" s="12" t="s">
        <v>216</v>
      </c>
      <c r="G9" s="12"/>
    </row>
    <row r="10" spans="2:12" x14ac:dyDescent="0.35">
      <c r="B10" s="8" t="s">
        <v>2</v>
      </c>
      <c r="C10" s="18" t="s">
        <v>212</v>
      </c>
      <c r="F10" s="8" t="s">
        <v>3</v>
      </c>
      <c r="G10" s="18" t="s">
        <v>212</v>
      </c>
    </row>
    <row r="11" spans="2:12" x14ac:dyDescent="0.35">
      <c r="B11" s="9" t="s">
        <v>11</v>
      </c>
      <c r="C11" s="19">
        <f>SUMIFS(Sales_Data!$I$2:$I$181,Sales_Data!$C$2:$C$181,$B11)</f>
        <v>126156.99</v>
      </c>
      <c r="F11" s="9" t="s">
        <v>12</v>
      </c>
      <c r="G11" s="19">
        <f>SUMIFS(Sales_Data!$I$2:$I$181,Sales_Data!$D$2:$D$181,$F11)</f>
        <v>201890.91999999995</v>
      </c>
    </row>
    <row r="12" spans="2:12" x14ac:dyDescent="0.35">
      <c r="B12" s="9" t="s">
        <v>19</v>
      </c>
      <c r="C12" s="19">
        <f>SUMIFS(Sales_Data!$I$2:$I$181,Sales_Data!$C$2:$C$181,$B12)</f>
        <v>94676.189999999988</v>
      </c>
      <c r="F12" s="9" t="s">
        <v>16</v>
      </c>
      <c r="G12" s="19">
        <f>SUMIFS(Sales_Data!$I$2:$I$181,Sales_Data!$D$2:$D$181,$F12)</f>
        <v>191114.84</v>
      </c>
    </row>
    <row r="13" spans="2:12" x14ac:dyDescent="0.35">
      <c r="B13" s="9" t="s">
        <v>30</v>
      </c>
      <c r="C13" s="19">
        <f>SUMIFS(Sales_Data!$I$2:$I$181,Sales_Data!$C$2:$C$181,$B13)</f>
        <v>150277.22999999998</v>
      </c>
      <c r="F13" s="9" t="s">
        <v>37</v>
      </c>
      <c r="G13" s="19">
        <f>SUMIFS(Sales_Data!$I$2:$I$181,Sales_Data!$D$2:$D$181,$F13)</f>
        <v>36190.47</v>
      </c>
    </row>
    <row r="14" spans="2:12" x14ac:dyDescent="0.35">
      <c r="B14" s="9" t="s">
        <v>23</v>
      </c>
      <c r="C14" s="19">
        <f>SUMIFS(Sales_Data!$I$2:$I$181,Sales_Data!$C$2:$C$181,$B14)</f>
        <v>115687.17000000004</v>
      </c>
      <c r="F14" s="9" t="s">
        <v>20</v>
      </c>
      <c r="G14" s="19">
        <f>SUMIFS(Sales_Data!$I$2:$I$181,Sales_Data!$D$2:$D$181,$F14)</f>
        <v>6182.5899999999983</v>
      </c>
    </row>
    <row r="15" spans="2:12" x14ac:dyDescent="0.35">
      <c r="F15" s="9" t="s">
        <v>32</v>
      </c>
      <c r="G15" s="19">
        <f>SUMIFS(Sales_Data!$I$2:$I$181,Sales_Data!$D$2:$D$181,$F15)</f>
        <v>11074.699999999997</v>
      </c>
    </row>
    <row r="16" spans="2:12" x14ac:dyDescent="0.35">
      <c r="F16" s="9" t="s">
        <v>51</v>
      </c>
      <c r="G16" s="19">
        <f>SUMIFS(Sales_Data!$I$2:$I$181,Sales_Data!$D$2:$D$181,$F16)</f>
        <v>22206.670000000002</v>
      </c>
    </row>
    <row r="17" spans="2:7" ht="17" x14ac:dyDescent="0.4">
      <c r="B17" s="12" t="s">
        <v>217</v>
      </c>
      <c r="C17" s="12"/>
      <c r="F17" s="9" t="s">
        <v>26</v>
      </c>
      <c r="G17" s="19">
        <f>SUMIFS(Sales_Data!$I$2:$I$181,Sales_Data!$D$2:$D$181,$F17)</f>
        <v>9169.43</v>
      </c>
    </row>
    <row r="18" spans="2:7" x14ac:dyDescent="0.35">
      <c r="B18" s="8" t="s">
        <v>9</v>
      </c>
      <c r="C18" s="18" t="s">
        <v>212</v>
      </c>
      <c r="F18" s="9" t="s">
        <v>44</v>
      </c>
      <c r="G18" s="19">
        <f>SUMIFS(Sales_Data!$I$2:$I$181,Sales_Data!$D$2:$D$181,$F18)</f>
        <v>8967.9599999999991</v>
      </c>
    </row>
    <row r="19" spans="2:7" x14ac:dyDescent="0.35">
      <c r="B19" s="9" t="s">
        <v>218</v>
      </c>
      <c r="C19" s="19">
        <f>SUMIFS(Sales_Data!$I$2:$I$181,Sales_Data!$J$2:$J$181,$B19)</f>
        <v>41701.360000000001</v>
      </c>
    </row>
    <row r="20" spans="2:7" x14ac:dyDescent="0.35">
      <c r="B20" s="9" t="s">
        <v>219</v>
      </c>
      <c r="C20" s="19">
        <f>SUMIFS(Sales_Data!$I$2:$I$181,Sales_Data!$J$2:$J$181,$B20)</f>
        <v>30773.97</v>
      </c>
    </row>
    <row r="21" spans="2:7" x14ac:dyDescent="0.35">
      <c r="B21" s="9" t="s">
        <v>220</v>
      </c>
      <c r="C21" s="19">
        <f>SUMIFS(Sales_Data!$I$2:$I$181,Sales_Data!$J$2:$J$181,$B21)</f>
        <v>39778.639999999985</v>
      </c>
    </row>
    <row r="22" spans="2:7" x14ac:dyDescent="0.35">
      <c r="B22" s="9" t="s">
        <v>221</v>
      </c>
      <c r="C22" s="19">
        <f>SUMIFS(Sales_Data!$I$2:$I$181,Sales_Data!$J$2:$J$181,$B22)</f>
        <v>54847.229999999996</v>
      </c>
    </row>
    <row r="23" spans="2:7" x14ac:dyDescent="0.35">
      <c r="B23" s="9" t="s">
        <v>222</v>
      </c>
      <c r="C23" s="19">
        <f>SUMIFS(Sales_Data!$I$2:$I$181,Sales_Data!$J$2:$J$181,$B23)</f>
        <v>22126.05</v>
      </c>
    </row>
    <row r="24" spans="2:7" x14ac:dyDescent="0.35">
      <c r="B24" s="9" t="s">
        <v>223</v>
      </c>
      <c r="C24" s="19">
        <f>SUMIFS(Sales_Data!$I$2:$I$181,Sales_Data!$J$2:$J$181,$B24)</f>
        <v>29154.99</v>
      </c>
    </row>
    <row r="25" spans="2:7" x14ac:dyDescent="0.35">
      <c r="B25" s="9" t="s">
        <v>224</v>
      </c>
      <c r="C25" s="19">
        <f>SUMIFS(Sales_Data!$I$2:$I$181,Sales_Data!$J$2:$J$181,$B25)</f>
        <v>29873.369999999995</v>
      </c>
    </row>
    <row r="26" spans="2:7" x14ac:dyDescent="0.35">
      <c r="B26" s="9" t="s">
        <v>225</v>
      </c>
      <c r="C26" s="19">
        <f>SUMIFS(Sales_Data!$I$2:$I$181,Sales_Data!$J$2:$J$181,$B26)</f>
        <v>73024.31</v>
      </c>
    </row>
    <row r="27" spans="2:7" x14ac:dyDescent="0.35">
      <c r="B27" s="9" t="s">
        <v>226</v>
      </c>
      <c r="C27" s="19">
        <f>SUMIFS(Sales_Data!$I$2:$I$181,Sales_Data!$J$2:$J$181,$B27)</f>
        <v>48903.92</v>
      </c>
    </row>
    <row r="28" spans="2:7" x14ac:dyDescent="0.35">
      <c r="B28" s="9" t="s">
        <v>227</v>
      </c>
      <c r="C28" s="19">
        <f>SUMIFS(Sales_Data!$I$2:$I$181,Sales_Data!$J$2:$J$181,$B28)</f>
        <v>37544.170000000006</v>
      </c>
    </row>
    <row r="29" spans="2:7" x14ac:dyDescent="0.35">
      <c r="B29" s="9" t="s">
        <v>228</v>
      </c>
      <c r="C29" s="19">
        <f>SUMIFS(Sales_Data!$I$2:$I$181,Sales_Data!$J$2:$J$181,$B29)</f>
        <v>35759.039999999994</v>
      </c>
    </row>
    <row r="30" spans="2:7" x14ac:dyDescent="0.35">
      <c r="B30" s="9" t="s">
        <v>229</v>
      </c>
      <c r="C30" s="19">
        <f>SUMIFS(Sales_Data!$I$2:$I$181,Sales_Data!$J$2:$J$181,$B30)</f>
        <v>43310.530000000006</v>
      </c>
    </row>
    <row r="33" spans="2:7" ht="17" x14ac:dyDescent="0.4">
      <c r="B33" s="12" t="s">
        <v>230</v>
      </c>
      <c r="C33" s="12"/>
    </row>
    <row r="34" spans="2:7" x14ac:dyDescent="0.35">
      <c r="B34" s="8" t="s">
        <v>5</v>
      </c>
      <c r="C34" s="18" t="s">
        <v>212</v>
      </c>
      <c r="F34" s="8" t="s">
        <v>231</v>
      </c>
      <c r="G34" s="20" t="s">
        <v>34</v>
      </c>
    </row>
    <row r="35" spans="2:7" x14ac:dyDescent="0.35">
      <c r="B35" s="9" t="s">
        <v>34</v>
      </c>
      <c r="C35" s="19">
        <f>SUMIFS(Sales_Data!$I$2:$I$181,Sales_Data!$F$2:$F$181,$B35)</f>
        <v>91139.699999999983</v>
      </c>
      <c r="F35" s="8" t="s">
        <v>232</v>
      </c>
      <c r="G35" s="18">
        <f>INDEX($C$35:$C$40,MATCH($G$34,$B$35:$B$40,0))</f>
        <v>91139.699999999983</v>
      </c>
    </row>
    <row r="36" spans="2:7" x14ac:dyDescent="0.35">
      <c r="B36" s="9" t="s">
        <v>41</v>
      </c>
      <c r="C36" s="19">
        <f>SUMIFS(Sales_Data!$I$2:$I$181,Sales_Data!$F$2:$F$181,$B36)</f>
        <v>83600.330000000016</v>
      </c>
      <c r="F36" s="7"/>
    </row>
    <row r="37" spans="2:7" x14ac:dyDescent="0.35">
      <c r="B37" s="9" t="s">
        <v>27</v>
      </c>
      <c r="C37" s="19">
        <f>SUMIFS(Sales_Data!$I$2:$I$181,Sales_Data!$F$2:$F$181,$B37)</f>
        <v>58088.869999999995</v>
      </c>
    </row>
    <row r="38" spans="2:7" x14ac:dyDescent="0.35">
      <c r="B38" s="9" t="s">
        <v>24</v>
      </c>
      <c r="C38" s="19">
        <f>SUMIFS(Sales_Data!$I$2:$I$181,Sales_Data!$F$2:$F$181,$B38)</f>
        <v>71670.680000000008</v>
      </c>
    </row>
    <row r="39" spans="2:7" x14ac:dyDescent="0.35">
      <c r="B39" s="9" t="s">
        <v>17</v>
      </c>
      <c r="C39" s="19">
        <f>SUMIFS(Sales_Data!$I$2:$I$181,Sales_Data!$F$2:$F$181,$B39)</f>
        <v>78869.37</v>
      </c>
    </row>
    <row r="40" spans="2:7" x14ac:dyDescent="0.35">
      <c r="B40" s="9" t="s">
        <v>14</v>
      </c>
      <c r="C40" s="19">
        <f>SUMIFS(Sales_Data!$I$2:$I$181,Sales_Data!$F$2:$F$181,$B40)</f>
        <v>103428.62999999999</v>
      </c>
    </row>
  </sheetData>
  <mergeCells count="12">
    <mergeCell ref="B9:C9"/>
    <mergeCell ref="F9:G9"/>
    <mergeCell ref="B17:C17"/>
    <mergeCell ref="B33:C33"/>
    <mergeCell ref="B5:C5"/>
    <mergeCell ref="E5:F5"/>
    <mergeCell ref="H5:I5"/>
    <mergeCell ref="K5:L5"/>
    <mergeCell ref="B6:C6"/>
    <mergeCell ref="E6:F6"/>
    <mergeCell ref="H6:I6"/>
    <mergeCell ref="K6:L6"/>
  </mergeCells>
  <conditionalFormatting sqref="G34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theme="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shashidhar mantur</cp:lastModifiedBy>
  <cp:revision>1</cp:revision>
  <dcterms:created xsi:type="dcterms:W3CDTF">2026-09-02T08:05:50Z</dcterms:created>
  <dcterms:modified xsi:type="dcterms:W3CDTF">2026-09-03T03:45:34Z</dcterms:modified>
  <dc:language>en-US</dc:language>
</cp:coreProperties>
</file>